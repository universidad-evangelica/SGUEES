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arrollo GIT\SGUEES\DOCS\AUDITORIA\Word\"/>
    </mc:Choice>
  </mc:AlternateContent>
  <xr:revisionPtr revIDLastSave="0" documentId="13_ncr:1_{036020CF-B95D-4740-8B6E-44EBA7C4A7E8}" xr6:coauthVersionLast="36" xr6:coauthVersionMax="36" xr10:uidLastSave="{00000000-0000-0000-0000-000000000000}"/>
  <bookViews>
    <workbookView xWindow="0" yWindow="0" windowWidth="19180" windowHeight="10060" activeTab="8" xr2:uid="{81544684-9C40-46D1-9619-00D8DC934601}"/>
  </bookViews>
  <sheets>
    <sheet name="01 Dashboard" sheetId="9" r:id="rId1"/>
    <sheet name="02 Backlog" sheetId="8" r:id="rId2"/>
    <sheet name="03 Ciclo de vida" sheetId="7" r:id="rId3"/>
    <sheet name="04 Talento Humano" sheetId="6" r:id="rId4"/>
    <sheet name="05 Contabilidad Finanzas" sheetId="5" r:id="rId5"/>
    <sheet name="06 Academico" sheetId="4" r:id="rId6"/>
    <sheet name="07 Como actualizar" sheetId="3" state="hidden" r:id="rId7"/>
    <sheet name="08 Opciones sistema" sheetId="2" r:id="rId8"/>
    <sheet name="09 DRF cobertura" sheetId="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8" l="1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I20" i="1"/>
  <c r="E47" i="9" l="1"/>
  <c r="C47" i="9"/>
  <c r="B47" i="9"/>
  <c r="A47" i="9"/>
  <c r="E46" i="9"/>
  <c r="C46" i="9"/>
  <c r="B46" i="9"/>
  <c r="A46" i="9"/>
  <c r="E45" i="9"/>
  <c r="C45" i="9"/>
  <c r="B45" i="9"/>
  <c r="A45" i="9"/>
  <c r="E44" i="9"/>
  <c r="C44" i="9"/>
  <c r="B44" i="9"/>
  <c r="A44" i="9"/>
  <c r="E43" i="9"/>
  <c r="C43" i="9"/>
  <c r="B43" i="9"/>
  <c r="A43" i="9"/>
  <c r="E42" i="9"/>
  <c r="C42" i="9"/>
  <c r="B42" i="9"/>
  <c r="A42" i="9"/>
  <c r="E41" i="9"/>
  <c r="C41" i="9"/>
  <c r="B41" i="9"/>
  <c r="A41" i="9"/>
  <c r="E40" i="9"/>
  <c r="C40" i="9"/>
  <c r="B40" i="9"/>
  <c r="A40" i="9"/>
  <c r="E39" i="9"/>
  <c r="C39" i="9"/>
  <c r="B39" i="9"/>
  <c r="A39" i="9"/>
  <c r="E38" i="9"/>
  <c r="C38" i="9"/>
  <c r="B38" i="9"/>
  <c r="A38" i="9"/>
  <c r="E37" i="9"/>
  <c r="C37" i="9"/>
  <c r="B37" i="9"/>
  <c r="A37" i="9"/>
  <c r="E36" i="9"/>
  <c r="C36" i="9"/>
  <c r="B36" i="9"/>
  <c r="A36" i="9"/>
  <c r="E35" i="9"/>
  <c r="C35" i="9"/>
  <c r="B35" i="9"/>
  <c r="A35" i="9"/>
  <c r="E34" i="9"/>
  <c r="C34" i="9"/>
  <c r="B34" i="9"/>
  <c r="A34" i="9"/>
  <c r="G30" i="9"/>
  <c r="F30" i="9"/>
  <c r="E30" i="9"/>
  <c r="D30" i="9"/>
  <c r="C30" i="9"/>
  <c r="B30" i="9"/>
  <c r="A30" i="9"/>
  <c r="G26" i="9"/>
  <c r="F26" i="9"/>
  <c r="E26" i="9"/>
  <c r="D26" i="9"/>
  <c r="C26" i="9"/>
  <c r="B26" i="9"/>
  <c r="A26" i="9"/>
  <c r="J20" i="9"/>
  <c r="N14" i="9"/>
  <c r="M14" i="9"/>
  <c r="L14" i="9"/>
  <c r="K14" i="9"/>
  <c r="J14" i="9"/>
  <c r="M7" i="9"/>
  <c r="J7" i="9"/>
  <c r="G7" i="9"/>
  <c r="D7" i="9"/>
  <c r="A7" i="9"/>
  <c r="B80" i="9"/>
  <c r="B79" i="9"/>
  <c r="G20" i="9" s="1"/>
  <c r="B78" i="9"/>
  <c r="D20" i="9" s="1"/>
  <c r="B73" i="9"/>
  <c r="B72" i="9"/>
  <c r="B71" i="9"/>
  <c r="B70" i="9"/>
  <c r="H17" i="6"/>
  <c r="G17" i="6"/>
  <c r="F17" i="6"/>
  <c r="E17" i="6"/>
  <c r="D17" i="6"/>
  <c r="C17" i="6"/>
  <c r="H16" i="6"/>
  <c r="G16" i="6"/>
  <c r="F16" i="6"/>
  <c r="E16" i="6"/>
  <c r="D16" i="6"/>
  <c r="C16" i="6"/>
  <c r="H15" i="6"/>
  <c r="G15" i="6"/>
  <c r="E15" i="6"/>
  <c r="D15" i="6"/>
  <c r="C15" i="6"/>
  <c r="H14" i="6"/>
  <c r="G14" i="6"/>
  <c r="E14" i="6"/>
  <c r="D14" i="6"/>
  <c r="C14" i="6"/>
  <c r="J11" i="4"/>
  <c r="I11" i="4"/>
  <c r="G11" i="4"/>
  <c r="F11" i="4"/>
  <c r="E11" i="4"/>
  <c r="J10" i="4"/>
  <c r="I10" i="4"/>
  <c r="G10" i="4"/>
  <c r="F10" i="4"/>
  <c r="E10" i="4"/>
  <c r="J9" i="4"/>
  <c r="I9" i="4"/>
  <c r="G9" i="4"/>
  <c r="F9" i="4"/>
  <c r="E9" i="4"/>
  <c r="J8" i="4"/>
  <c r="I8" i="4"/>
  <c r="G8" i="4"/>
  <c r="F8" i="4"/>
  <c r="E8" i="4"/>
  <c r="J7" i="4"/>
  <c r="I7" i="4"/>
  <c r="G7" i="4"/>
  <c r="F7" i="4"/>
  <c r="E7" i="4"/>
  <c r="J10" i="5"/>
  <c r="I10" i="5"/>
  <c r="G10" i="5"/>
  <c r="F10" i="5"/>
  <c r="E10" i="5"/>
  <c r="J9" i="5"/>
  <c r="I9" i="5"/>
  <c r="G9" i="5"/>
  <c r="F9" i="5"/>
  <c r="E9" i="5"/>
  <c r="J8" i="5"/>
  <c r="I8" i="5"/>
  <c r="G8" i="5"/>
  <c r="F8" i="5"/>
  <c r="E8" i="5"/>
  <c r="J7" i="5"/>
  <c r="I7" i="5"/>
  <c r="G7" i="5"/>
  <c r="F7" i="5"/>
  <c r="E7" i="5"/>
  <c r="J10" i="6"/>
  <c r="I10" i="6"/>
  <c r="G10" i="6"/>
  <c r="F10" i="6"/>
  <c r="E10" i="6"/>
  <c r="J9" i="6"/>
  <c r="I9" i="6"/>
  <c r="G9" i="6"/>
  <c r="F9" i="6"/>
  <c r="E9" i="6"/>
  <c r="J8" i="6"/>
  <c r="I8" i="6"/>
  <c r="G8" i="6"/>
  <c r="F8" i="6"/>
  <c r="E8" i="6"/>
  <c r="J7" i="6"/>
  <c r="I7" i="6"/>
  <c r="G7" i="6"/>
  <c r="F7" i="6"/>
  <c r="E7" i="6"/>
  <c r="D47" i="9"/>
  <c r="H11" i="4"/>
  <c r="H10" i="4"/>
  <c r="H9" i="4"/>
  <c r="H9" i="5"/>
  <c r="H10" i="6"/>
  <c r="J4" i="1"/>
  <c r="H4" i="1"/>
  <c r="F4" i="1"/>
  <c r="D4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19" i="1"/>
  <c r="I18" i="1"/>
  <c r="I17" i="1"/>
  <c r="I16" i="1"/>
  <c r="I15" i="1"/>
  <c r="I14" i="1"/>
  <c r="I13" i="1"/>
  <c r="H7" i="6" s="1"/>
  <c r="I12" i="1"/>
  <c r="I11" i="1"/>
  <c r="I10" i="1"/>
  <c r="I9" i="1"/>
  <c r="I8" i="1"/>
  <c r="I7" i="1"/>
  <c r="B4" i="2"/>
  <c r="F14" i="6" l="1"/>
  <c r="H8" i="6"/>
  <c r="B4" i="1"/>
  <c r="B77" i="9"/>
  <c r="A20" i="9" s="1"/>
  <c r="F15" i="6"/>
  <c r="K9" i="6"/>
  <c r="D36" i="9"/>
  <c r="D38" i="9"/>
  <c r="K7" i="5"/>
  <c r="D39" i="9"/>
  <c r="K8" i="5"/>
  <c r="K10" i="5"/>
  <c r="D41" i="9"/>
  <c r="K7" i="4"/>
  <c r="B76" i="9"/>
  <c r="D42" i="9"/>
  <c r="B4" i="4"/>
  <c r="K8" i="4"/>
  <c r="D43" i="9"/>
  <c r="H7" i="5"/>
  <c r="H9" i="6"/>
  <c r="H8" i="5"/>
  <c r="H10" i="5"/>
  <c r="H7" i="4"/>
  <c r="B4" i="5"/>
  <c r="H8" i="4"/>
  <c r="B75" i="9" l="1"/>
  <c r="D14" i="9" s="1"/>
  <c r="K9" i="4"/>
  <c r="D44" i="9"/>
  <c r="K7" i="6"/>
  <c r="D34" i="9"/>
  <c r="B74" i="9"/>
  <c r="B4" i="6"/>
  <c r="D35" i="9"/>
  <c r="K8" i="6"/>
  <c r="S21" i="9"/>
  <c r="G14" i="9"/>
  <c r="K9" i="5"/>
  <c r="D40" i="9"/>
  <c r="D46" i="9"/>
  <c r="K11" i="4"/>
  <c r="K10" i="6"/>
  <c r="D37" i="9"/>
  <c r="K10" i="4"/>
  <c r="D45" i="9"/>
  <c r="S20" i="9" l="1"/>
  <c r="S19" i="9"/>
  <c r="A14" i="9"/>
</calcChain>
</file>

<file path=xl/sharedStrings.xml><?xml version="1.0" encoding="utf-8"?>
<sst xmlns="http://schemas.openxmlformats.org/spreadsheetml/2006/main" count="1516" uniqueCount="583">
  <si>
    <t>Como actualizar este tablero</t>
  </si>
  <si>
    <t>Este archivo es el cronograma vivo. Hay dos lecturas de avance que no se mezclan.</t>
  </si>
  <si>
    <t>A</t>
  </si>
  <si>
    <t>Corte CTD T2 2026 (oficial): proyecto 17% a 2028; fases abiertas 48%; TH 8%; Finanzas 6%; Academico 4%. Se edita en 03 Ciclo de vida.</t>
  </si>
  <si>
    <t>B</t>
  </si>
  <si>
    <t>Avance tecnico (alimentable): promedio de RF del DRF vs lo construido en SGUEES. Construido=100%; Parcial=50%; No iniciado=0%. Los catalogos (CAT) no inflan el %. Se edita en 09 DRF cobertura.</t>
  </si>
  <si>
    <t>C</t>
  </si>
  <si>
    <t>Identificacion DICA (89.5%) NO es avance de modulo. El avance de modulo en el dashboard es Desarrollo (tecnico si hay DRF; si no, el % manual del backlog).</t>
  </si>
  <si>
    <t>D</t>
  </si>
  <si>
    <t>FASE 1 = MVP 2027. Un solo proceso: Identificacion -&gt; Analisis DRF -&gt; Diseno/fundacion -&gt; Desarrollo -&gt; Pruebas -&gt; Implementacion -&gt; Mantenimiento.</t>
  </si>
  <si>
    <t>E</t>
  </si>
  <si>
    <t>El acta del proyecto es el PDF Acuerdos del Directorio Ejecutivo.</t>
  </si>
  <si>
    <t>Como alimentar el avance (sin regenerar, en Excel)</t>
  </si>
  <si>
    <t>Hoja 09: cambie Estado del RF (Construido / Parcial / No iniciado). AvanceRF y el Desarrollo del backlog se recalculan.</t>
  </si>
  <si>
    <t>Nuevo DRF (expediente, planilla, CON, BAN, academico): borre la fila RF-00 de ese BacklogID y agregue RF-01, RF-02... con TipoReq=RF. Tabla: clic en la ultima celda y Tab.</t>
  </si>
  <si>
    <t>Catalogos de apoyo: TipoReq=CAT. Sirven de inventario; no entran al % de Desarrollo.</t>
  </si>
  <si>
    <t>Nueva pantalla en SGUEES: agregue fila en hoja 08 (Modulo, Ruta, Titulo, Tipo, EstadoSistema, BacklogID).</t>
  </si>
  <si>
    <t>Procedimiento nuevo: fila en 02 Backlog (ID TH-05 / CF-05 / AC-06...) y filas RF en 09.</t>
  </si>
  <si>
    <t>Estado Por hacer: Desarrollo y Avance quedan en 0% (dashboard y backlog). No use un % de identificacion DICA como avance de modulo.</t>
  </si>
  <si>
    <t>Datos &gt; Actualizar todo si una formula queda en cache. No edite las celdas % del Dashboard: son formulas.</t>
  </si>
  <si>
    <t>Regenerar desde CSV (cuando llegue un lote de DRF)</t>
  </si>
  <si>
    <t>Edite drf-cobertura.csv y opciones-sistema.csv (UTF-8). Luego:</t>
  </si>
  <si>
    <t>powershell -ExecutionPolicy Bypass -File "DOCS\AUDITORIA\scripts\Generar-02-Cronograma-Dashboard.ps1"</t>
  </si>
  <si>
    <t>Estados del backlog</t>
  </si>
  <si>
    <t>Hecho</t>
  </si>
  <si>
    <t>Entregado / en produccion o cerrado</t>
  </si>
  <si>
    <t>En integracion</t>
  </si>
  <si>
    <t>Modulo ya construido (misma tecnologia); se pasa a SGUEES y se valida. Caso: Compras.</t>
  </si>
  <si>
    <t>En desarrollo</t>
  </si>
  <si>
    <t>Hay pantallas o codigo en curso</t>
  </si>
  <si>
    <t>En analisis</t>
  </si>
  <si>
    <t>Proceso definido; diseno/requerimientos abiertos</t>
  </si>
  <si>
    <t>Definicion</t>
  </si>
  <si>
    <t>Solo levantamiento de procedimiento</t>
  </si>
  <si>
    <t>Por hacer</t>
  </si>
  <si>
    <t>Sin trabajo de sistema. Avance de modulo = 0% (no se muestra progreso).</t>
  </si>
  <si>
    <t>Estados de un RF (hoja 09)</t>
  </si>
  <si>
    <t>Construido</t>
  </si>
  <si>
    <t>Cubre el RF del DRF (100%)</t>
  </si>
  <si>
    <t>Parcial</t>
  </si>
  <si>
    <t>Hay pantalla o flujo, faltan reglas o estados (50%)</t>
  </si>
  <si>
    <t>No iniciado</t>
  </si>
  <si>
    <t>El DRF lo pide y no hay opcion (0%)</t>
  </si>
  <si>
    <t>Sin DRF</t>
  </si>
  <si>
    <t>Aun no se cargo el documento; no entra al promedio</t>
  </si>
  <si>
    <t>OPCIONES YA EN SGUEES  |  Inventario de pantallas</t>
  </si>
  <si>
    <t>Fuente: routing SPA. Agregue filas cuando entre una pantalla nueva. Filtro por Modulo o BacklogID.</t>
  </si>
  <si>
    <t>Total opciones</t>
  </si>
  <si>
    <t>Modulo</t>
  </si>
  <si>
    <t>Ruta</t>
  </si>
  <si>
    <t>Titulo</t>
  </si>
  <si>
    <t>Tipo</t>
  </si>
  <si>
    <t>EstadoSistema</t>
  </si>
  <si>
    <t>BacklogID</t>
  </si>
  <si>
    <t>Compras</t>
  </si>
  <si>
    <t>/com-proveedor</t>
  </si>
  <si>
    <t>Registro de Proveedores</t>
  </si>
  <si>
    <t>Catalogo</t>
  </si>
  <si>
    <t>En sistema</t>
  </si>
  <si>
    <t>PL-01</t>
  </si>
  <si>
    <t>/com-proveedor-actu</t>
  </si>
  <si>
    <t>Actualizar Datos Proveedor</t>
  </si>
  <si>
    <t>Proceso</t>
  </si>
  <si>
    <t>/com-unidad-medida</t>
  </si>
  <si>
    <t>Unidades de Medida</t>
  </si>
  <si>
    <t>/com-soli-cotizacion</t>
  </si>
  <si>
    <t>Solicitudes de Cotizaciones</t>
  </si>
  <si>
    <t>/com-cotizacion</t>
  </si>
  <si>
    <t>Oportunidades para Cotizar</t>
  </si>
  <si>
    <t>/com-cuadro-comparativo</t>
  </si>
  <si>
    <t>Cuadros Comparativos</t>
  </si>
  <si>
    <t>/com-cuadro-comparativo-autoriza</t>
  </si>
  <si>
    <t>Autorizar Cuadros Comparativos</t>
  </si>
  <si>
    <t>/com-cuadro-comparativo-config-autorizaciones</t>
  </si>
  <si>
    <t>Configuracion de Autorizaciones</t>
  </si>
  <si>
    <t>Configuracion</t>
  </si>
  <si>
    <t>/com-orden-compra</t>
  </si>
  <si>
    <t>Orden de Compra</t>
  </si>
  <si>
    <t>/com-documento</t>
  </si>
  <si>
    <t>Documentos por Compras</t>
  </si>
  <si>
    <t>/com-documento-desaplicar</t>
  </si>
  <si>
    <t>Des-aplicar Doc. Compras</t>
  </si>
  <si>
    <t>/com-documento-anular</t>
  </si>
  <si>
    <t>Anular Comprobantes Ret.</t>
  </si>
  <si>
    <t>/com-condicion-pago</t>
  </si>
  <si>
    <t>Condiciones de Pago</t>
  </si>
  <si>
    <t>/com-tipo-doc-fisico</t>
  </si>
  <si>
    <t>Tipos de Doc. Fisicos</t>
  </si>
  <si>
    <t>/com-tipo-soli-cotiza</t>
  </si>
  <si>
    <t>Tipo de Sol. Cotizacion</t>
  </si>
  <si>
    <t>/com-banco</t>
  </si>
  <si>
    <t>Bancos (Compras)</t>
  </si>
  <si>
    <t>/com-parametro</t>
  </si>
  <si>
    <t>Parametros de Compras</t>
  </si>
  <si>
    <t>/com-cotizacion-consulta</t>
  </si>
  <si>
    <t>Consulta de Cotizaciones</t>
  </si>
  <si>
    <t>Consulta</t>
  </si>
  <si>
    <t>/com-bitacora</t>
  </si>
  <si>
    <t>Bitacora</t>
  </si>
  <si>
    <t>Seleccion</t>
  </si>
  <si>
    <t>/sc-tipo-vacante</t>
  </si>
  <si>
    <t>Tipo de Vacante</t>
  </si>
  <si>
    <t>TH-01</t>
  </si>
  <si>
    <t>/sc-requisicion-personal</t>
  </si>
  <si>
    <t>Requisicion de personal</t>
  </si>
  <si>
    <t>/sc-requisicion-observadores</t>
  </si>
  <si>
    <t>Requisicion Observadores</t>
  </si>
  <si>
    <t>/sc-tipo-modalidad</t>
  </si>
  <si>
    <t>Tipo de modalidad</t>
  </si>
  <si>
    <t>/sc-tipo-contratacion</t>
  </si>
  <si>
    <t>Tipo de Contratacion</t>
  </si>
  <si>
    <t>/sc-solicitud-empleo</t>
  </si>
  <si>
    <t>Solicitud de Empleo</t>
  </si>
  <si>
    <t>/sc-descriptor-puesto</t>
  </si>
  <si>
    <t>Descriptor de Puesto</t>
  </si>
  <si>
    <t>TH-02</t>
  </si>
  <si>
    <t>/sc-organigrama-estructural-unidades</t>
  </si>
  <si>
    <t>Organigrama institucional</t>
  </si>
  <si>
    <t>/sc-organigrama-estructural-nivel</t>
  </si>
  <si>
    <t>Niveles del Organigrama</t>
  </si>
  <si>
    <t>/sc-competencias-tecnicas</t>
  </si>
  <si>
    <t>Competencias Tecnicas</t>
  </si>
  <si>
    <t>/sc-competencias-conductuales</t>
  </si>
  <si>
    <t>Competencias Conductuales</t>
  </si>
  <si>
    <t>/sc-responsabilidad-cargo</t>
  </si>
  <si>
    <t>Responsabilidad de Cargo</t>
  </si>
  <si>
    <t>/sc-riesgo-puesto</t>
  </si>
  <si>
    <t>Riesgo de Puesto</t>
  </si>
  <si>
    <t>/sc-induccion</t>
  </si>
  <si>
    <t>Induccion</t>
  </si>
  <si>
    <t>/sc-frecuencia</t>
  </si>
  <si>
    <t>Frecuencia</t>
  </si>
  <si>
    <t>/sc-requerimiento-organizacional</t>
  </si>
  <si>
    <t>Requerimiento Organizacional</t>
  </si>
  <si>
    <t>/sc-disponibilidad-horario</t>
  </si>
  <si>
    <t>Disponibilidad de Horario</t>
  </si>
  <si>
    <t>/sc-impacto-economico</t>
  </si>
  <si>
    <t>Impacto Economico</t>
  </si>
  <si>
    <t>Planilla</t>
  </si>
  <si>
    <t>/pla-nivel-academico</t>
  </si>
  <si>
    <t>Nivel Academico</t>
  </si>
  <si>
    <t>TH-04</t>
  </si>
  <si>
    <t>/pla-tipo-puesto</t>
  </si>
  <si>
    <t>Tipo de Puesto</t>
  </si>
  <si>
    <t>/pla-puesto</t>
  </si>
  <si>
    <t>Puesto</t>
  </si>
  <si>
    <t>Contabilidad</t>
  </si>
  <si>
    <t>/con-partida</t>
  </si>
  <si>
    <t>Partidas Contables</t>
  </si>
  <si>
    <t>CF-01</t>
  </si>
  <si>
    <t>/con-partida-aplicar</t>
  </si>
  <si>
    <t>Partidas a Aplicar</t>
  </si>
  <si>
    <t>/con-partida-desaplicar</t>
  </si>
  <si>
    <t>Partidas a Des-Aplicar</t>
  </si>
  <si>
    <t>/con-partida-anular</t>
  </si>
  <si>
    <t>Partidas a Anular</t>
  </si>
  <si>
    <t>/con-partida-modelo</t>
  </si>
  <si>
    <t>Partidas Modelo</t>
  </si>
  <si>
    <t>/con-partida-modelo-seleccion</t>
  </si>
  <si>
    <t>Generar Partida desde Modelo</t>
  </si>
  <si>
    <t>/con-cierre-apertura</t>
  </si>
  <si>
    <t>Cierre y Apertura de Periodos</t>
  </si>
  <si>
    <t>/con-catalogo-cuenta</t>
  </si>
  <si>
    <t>Catalogo de Cuentas</t>
  </si>
  <si>
    <t>/con-catalogo-cuenta-centro-costo</t>
  </si>
  <si>
    <t>Cuentas por Centro Costo</t>
  </si>
  <si>
    <t>/con-centro-costo</t>
  </si>
  <si>
    <t>Centros de Costo</t>
  </si>
  <si>
    <t>/con-tipo-centro-costo</t>
  </si>
  <si>
    <t>Tipos Centro Costo</t>
  </si>
  <si>
    <t>/con-catalogo-presupuesto</t>
  </si>
  <si>
    <t>Presupuestos</t>
  </si>
  <si>
    <t>/con-rubro</t>
  </si>
  <si>
    <t>Rubros Contables</t>
  </si>
  <si>
    <t>/con-periodo-contable</t>
  </si>
  <si>
    <t>Periodos Contables</t>
  </si>
  <si>
    <t>/con-clase-partida</t>
  </si>
  <si>
    <t>Clases de Partida</t>
  </si>
  <si>
    <t>/con-area-funcional</t>
  </si>
  <si>
    <t>Configuracion Area Funcional</t>
  </si>
  <si>
    <t>/con-division</t>
  </si>
  <si>
    <t>Divisiones</t>
  </si>
  <si>
    <t>/con-gerencia</t>
  </si>
  <si>
    <t>Gerencias</t>
  </si>
  <si>
    <t>/con-departamento</t>
  </si>
  <si>
    <t>Departamentos Contables</t>
  </si>
  <si>
    <t>/con-seccion</t>
  </si>
  <si>
    <t>Secciones</t>
  </si>
  <si>
    <t>/con-parametro</t>
  </si>
  <si>
    <t>Parametros Contabilidad</t>
  </si>
  <si>
    <t>/con-contabilidad-importar-excel</t>
  </si>
  <si>
    <t>Importar catalogos contables</t>
  </si>
  <si>
    <t>/con-reporte-libro-diario-auxiliar</t>
  </si>
  <si>
    <t>Libro Diario Auxiliar</t>
  </si>
  <si>
    <t>Reporte</t>
  </si>
  <si>
    <t>/con-reporte-libro-diario-mayor</t>
  </si>
  <si>
    <t>Libro Diario Mayor</t>
  </si>
  <si>
    <t>/con-reporte-balance-comprobacion</t>
  </si>
  <si>
    <t>Balance de Comprobacion</t>
  </si>
  <si>
    <t>/con-reporte-balance-general</t>
  </si>
  <si>
    <t>Balance General</t>
  </si>
  <si>
    <t>/con-reporte-estado-resultados</t>
  </si>
  <si>
    <t>Estado de Resultados</t>
  </si>
  <si>
    <t>/con-reporte-libro-diario-auxiliar-mes</t>
  </si>
  <si>
    <t>Libro Diario Auxiliar por mes</t>
  </si>
  <si>
    <t>/con-reporte-balance-comprobacion-mes</t>
  </si>
  <si>
    <t>Balance de Comprobacion por mes</t>
  </si>
  <si>
    <t>/con-reporte-balance-general-vertical</t>
  </si>
  <si>
    <t>Balance General vertical</t>
  </si>
  <si>
    <t>Bancos</t>
  </si>
  <si>
    <t>/ban-cuenta-bancaria</t>
  </si>
  <si>
    <t>Cuentas Bancarias</t>
  </si>
  <si>
    <t>CF-02</t>
  </si>
  <si>
    <t>/ban-tipo-cheque</t>
  </si>
  <si>
    <t>Tipos de Cheques</t>
  </si>
  <si>
    <t>/ban-tipo-movi-bancario</t>
  </si>
  <si>
    <t>Tipos de Movimientos Bancarios</t>
  </si>
  <si>
    <t>/ban-linea-trabajo-conciliacion</t>
  </si>
  <si>
    <t>Lineas Trabajo Conciliacion</t>
  </si>
  <si>
    <t>CF-04</t>
  </si>
  <si>
    <t>/ban-parametro</t>
  </si>
  <si>
    <t>Parametros Bancarios</t>
  </si>
  <si>
    <t>/ban-cheque</t>
  </si>
  <si>
    <t>Cheques</t>
  </si>
  <si>
    <t>/ban-cheque-aplicar</t>
  </si>
  <si>
    <t>Cheques a Aplicar</t>
  </si>
  <si>
    <t>/ban-cheque-imprimir</t>
  </si>
  <si>
    <t>Cheques a Imprimir</t>
  </si>
  <si>
    <t>/ban-cheque-anular</t>
  </si>
  <si>
    <t>Cheques a Anular</t>
  </si>
  <si>
    <t>/ban-documento</t>
  </si>
  <si>
    <t>Documentos Bancarios</t>
  </si>
  <si>
    <t>/ban-documento-aplicar</t>
  </si>
  <si>
    <t>Documentos Bancarios a Aplicar</t>
  </si>
  <si>
    <t>/ban-documento-anular</t>
  </si>
  <si>
    <t>Documentos Bancarios a Anular</t>
  </si>
  <si>
    <t>/ban-documento-contabilizar</t>
  </si>
  <si>
    <t>Contabilizar Documentos Bancarios</t>
  </si>
  <si>
    <t>/ban-soli-cheque</t>
  </si>
  <si>
    <t>Solicitud de Cheques</t>
  </si>
  <si>
    <t>/ban-soli-cheque-autoriza</t>
  </si>
  <si>
    <t>Autorizar Solicitud de Cheques</t>
  </si>
  <si>
    <t>/ban-concilia-bancaria</t>
  </si>
  <si>
    <t>Conciliacion Bancaria</t>
  </si>
  <si>
    <t>/ban-reporte-cheque-emitidos</t>
  </si>
  <si>
    <t>Reporte de Cheques Emitidos</t>
  </si>
  <si>
    <t>/ban-reporte-estado-cuenta</t>
  </si>
  <si>
    <t>Disponibilidad Bancaria Auxiliar</t>
  </si>
  <si>
    <t>/ban-reporte-estado-cuenta-acumulado</t>
  </si>
  <si>
    <t>Disponibilidad Bancaria</t>
  </si>
  <si>
    <t>/ban-reporte-entrega-cheques</t>
  </si>
  <si>
    <t>Reporte de Cheques Entregados</t>
  </si>
  <si>
    <t>Seguridad</t>
  </si>
  <si>
    <t>/seg-opcion-sistema</t>
  </si>
  <si>
    <t>Opciones del Sistema</t>
  </si>
  <si>
    <t>Administracion</t>
  </si>
  <si>
    <t>/seg-config-opcion</t>
  </si>
  <si>
    <t>Configuracion de Opciones</t>
  </si>
  <si>
    <t>/seg-usuario</t>
  </si>
  <si>
    <t>Usuarios</t>
  </si>
  <si>
    <t>/seg-tipo-usuario</t>
  </si>
  <si>
    <t>Tipo Usuario</t>
  </si>
  <si>
    <t>/seg-flujo-tipo-documento</t>
  </si>
  <si>
    <t>Documentos (flujos)</t>
  </si>
  <si>
    <t>Flujos</t>
  </si>
  <si>
    <t>/seg-flujo-actor</t>
  </si>
  <si>
    <t>Actores de flujos</t>
  </si>
  <si>
    <t>/seg-flujo-proceso</t>
  </si>
  <si>
    <t>Flujos del sistema</t>
  </si>
  <si>
    <t>/profile</t>
  </si>
  <si>
    <t>Perfil</t>
  </si>
  <si>
    <t>Portal</t>
  </si>
  <si>
    <t>General</t>
  </si>
  <si>
    <t>/gen-rubro</t>
  </si>
  <si>
    <t>Rubro</t>
  </si>
  <si>
    <t>/gen-tipo-gasto</t>
  </si>
  <si>
    <t>Tipo Gasto</t>
  </si>
  <si>
    <t>/gen-tipo-documento</t>
  </si>
  <si>
    <t>Tipo Documento</t>
  </si>
  <si>
    <t>/gen-sector-economico</t>
  </si>
  <si>
    <t>Sector Economicos</t>
  </si>
  <si>
    <t>/gen-empresa</t>
  </si>
  <si>
    <t>Empresas</t>
  </si>
  <si>
    <t>/gen-estructura-territorial</t>
  </si>
  <si>
    <t>Estructura Territorial</t>
  </si>
  <si>
    <t>/gen-division</t>
  </si>
  <si>
    <t>/gen-gerencia</t>
  </si>
  <si>
    <t>/gen-banco</t>
  </si>
  <si>
    <t>/gen-unidades-puesto</t>
  </si>
  <si>
    <t>Asignacion de Puestos a Unidades</t>
  </si>
  <si>
    <t>COBERTURA DRF vs SGUEES  |  Avance tecnico alimentable</t>
  </si>
  <si>
    <t>TH-01 Seleccion VF y TH-02 Descriptor VF cargados. Siguientes DRF: reemplace RF-00 y agregue RF. Puntaje: Construido 100% / Parcial 50% / No iniciado 0%.</t>
  </si>
  <si>
    <t>Promedio RF con DRF</t>
  </si>
  <si>
    <t>Area</t>
  </si>
  <si>
    <t>Procedimiento</t>
  </si>
  <si>
    <t>CodigoRF</t>
  </si>
  <si>
    <t>TipoReq</t>
  </si>
  <si>
    <t>Requerimiento</t>
  </si>
  <si>
    <t>Fuente</t>
  </si>
  <si>
    <t>Estado</t>
  </si>
  <si>
    <t>AvanceRF</t>
  </si>
  <si>
    <t>OpcionSGUEES</t>
  </si>
  <si>
    <t>Evidencia</t>
  </si>
  <si>
    <t>Notas</t>
  </si>
  <si>
    <t>Talento Humano</t>
  </si>
  <si>
    <t>Seleccion y contratacion</t>
  </si>
  <si>
    <t>RF-01</t>
  </si>
  <si>
    <t>RF</t>
  </si>
  <si>
    <t>Registro de requisicion de personal (campos TH; descriptor obligatorio; estados DI/SO/RJ/OB/AP/DE/AN)</t>
  </si>
  <si>
    <t>DRF-TH-SC Seleccion VF</t>
  </si>
  <si>
    <t>Pantalla con observadores y bitacora</t>
  </si>
  <si>
    <t>Falta congelar campos al pasar a SO y reglas de reactivacion</t>
  </si>
  <si>
    <t>RF-02</t>
  </si>
  <si>
    <t>Flujo de aprobacion configurable (actores; notificaciones; bitacora de transiciones)</t>
  </si>
  <si>
    <t>Flujos SEG y estados en requisicion</t>
  </si>
  <si>
    <t>Cadena institucional completa y correos no cerrados</t>
  </si>
  <si>
    <t>RF-03</t>
  </si>
  <si>
    <t>Solicitud de empleo permanente/eventual con token y expediente reutilizable</t>
  </si>
  <si>
    <t>Token; formulario; datos de persona</t>
  </si>
  <si>
    <t>Falta expediente unico candidato y reutilizacion total</t>
  </si>
  <si>
    <t>RF-04</t>
  </si>
  <si>
    <t>Expediente digital del candidato (evaluaciones; adjuntos; historial)</t>
  </si>
  <si>
    <t>No hay pantalla de expediente de candidato</t>
  </si>
  <si>
    <t>Pendiente de desarrollo</t>
  </si>
  <si>
    <t>RF-05</t>
  </si>
  <si>
    <t>Movimiento de personal previo a contratacion</t>
  </si>
  <si>
    <t>Sin opcion</t>
  </si>
  <si>
    <t>Pendiente</t>
  </si>
  <si>
    <t>RF-06</t>
  </si>
  <si>
    <t>Evaluaciones psicologica; tecnica; entrevista jefe; capellan</t>
  </si>
  <si>
    <t>RF-07</t>
  </si>
  <si>
    <t>RF-08</t>
  </si>
  <si>
    <t>Generacion y firma de contratos (tipos permanente; eventual; docente; investigador)</t>
  </si>
  <si>
    <t>RF-09</t>
  </si>
  <si>
    <t>Registro de nuevo empleado y aviso a planilla</t>
  </si>
  <si>
    <t>RF-10</t>
  </si>
  <si>
    <t>Procesos especiales docentes hora clase; posgrado; investigadores</t>
  </si>
  <si>
    <t>CAT-01</t>
  </si>
  <si>
    <t>CAT</t>
  </si>
  <si>
    <t>Catalogo tipo de vacante</t>
  </si>
  <si>
    <t>Pantalla mtto</t>
  </si>
  <si>
    <t>Apoyo RF-01</t>
  </si>
  <si>
    <t>CAT-02</t>
  </si>
  <si>
    <t>Catalogo tipo de contratacion</t>
  </si>
  <si>
    <t>CAT-03</t>
  </si>
  <si>
    <t>Catalogo tipo de modalidad</t>
  </si>
  <si>
    <t>CAT-04</t>
  </si>
  <si>
    <t>Observadores de requisicion</t>
  </si>
  <si>
    <t>Descriptor y perfil de puesto</t>
  </si>
  <si>
    <t>Creacion de descriptor formato corto/extenso segun rol y unidad</t>
  </si>
  <si>
    <t>DRF Descriptor VF</t>
  </si>
  <si>
    <t>Alta de descriptor con secciones por formato</t>
  </si>
  <si>
    <t>Flujo revision JIS / TH con observaciones obligatorias</t>
  </si>
  <si>
    <t>Estados BORRADOR; ENVIADO; REVISADO; ACTIVO; INACTIVO</t>
  </si>
  <si>
    <t>Activacion; desactivacion; reactivacion y control de versiones</t>
  </si>
  <si>
    <t>Campo VERSION y estados ACTIVO/INACTIVO</t>
  </si>
  <si>
    <t>Asignacion de colaboradores al descriptor activo</t>
  </si>
  <si>
    <t>Sin asignacion de titulares</t>
  </si>
  <si>
    <t>Reportes individualizados corto/extenso</t>
  </si>
  <si>
    <t>Lookups de reporte por formato</t>
  </si>
  <si>
    <t>Generacion institucional del documento no cerrada</t>
  </si>
  <si>
    <t>Carga y descarga de documento firmado fisicamente</t>
  </si>
  <si>
    <t>Sin gestion documental por colaborador</t>
  </si>
  <si>
    <t>Bitacora de eventos del descriptor</t>
  </si>
  <si>
    <t>Auditoria USUARIO/FECHA de mtto</t>
  </si>
  <si>
    <t>Organigrama institucional y niveles</t>
  </si>
  <si>
    <t>Unidades y niveles</t>
  </si>
  <si>
    <t>Competencias tecnicas y conductuales</t>
  </si>
  <si>
    <t>Pantallas mtto</t>
  </si>
  <si>
    <t>Tambien /sc-competencias-conductuales</t>
  </si>
  <si>
    <t>Riesgo; induccion; frecuencia; responsabilidad; requerimientos; impacto</t>
  </si>
  <si>
    <t>Catalogos de apoyo al perfil</t>
  </si>
  <si>
    <t>Varias rutas SC_ de catalogo</t>
  </si>
  <si>
    <t>TH-03</t>
  </si>
  <si>
    <t>Expediente de empleado</t>
  </si>
  <si>
    <t>RF-00</t>
  </si>
  <si>
    <t>PENDIENTE</t>
  </si>
  <si>
    <t>Sin DRF cargado</t>
  </si>
  <si>
    <t>Reemplazar esta fila por RF-01..n cuando exista el DRF</t>
  </si>
  <si>
    <t>Planilla (nucleo)</t>
  </si>
  <si>
    <t>Contabilidad y Finanzas</t>
  </si>
  <si>
    <t>Caja y bancos</t>
  </si>
  <si>
    <t>CF-03</t>
  </si>
  <si>
    <t>Cuentas por pagar / Pagos</t>
  </si>
  <si>
    <t>Conciliacion bancaria</t>
  </si>
  <si>
    <t>AC-01</t>
  </si>
  <si>
    <t>Academico</t>
  </si>
  <si>
    <t>Admision</t>
  </si>
  <si>
    <t>AC-02</t>
  </si>
  <si>
    <t>Nuevo ingreso</t>
  </si>
  <si>
    <t>AC-03</t>
  </si>
  <si>
    <t>Socioeconomico</t>
  </si>
  <si>
    <t>AC-04</t>
  </si>
  <si>
    <t>Matricula</t>
  </si>
  <si>
    <t>AC-05</t>
  </si>
  <si>
    <t>Solicitud de becas</t>
  </si>
  <si>
    <t>Plataforma</t>
  </si>
  <si>
    <t>En integracion (19 opciones hoja 08); cargar DRF cuando exista</t>
  </si>
  <si>
    <t>BACKLOG SGUEES  |  Tablero de procedimientos y avance</t>
  </si>
  <si>
    <t>Cadena: Identificacion (DICA) -&gt; Analisis DRF (STI) -&gt; Diseno -&gt; Desarrollo -&gt; Pruebas -&gt; Implementacion</t>
  </si>
  <si>
    <t>ID</t>
  </si>
  <si>
    <t>Modulo SGUEES</t>
  </si>
  <si>
    <t>Fase</t>
  </si>
  <si>
    <t>Prioridad</t>
  </si>
  <si>
    <t>Identificacion</t>
  </si>
  <si>
    <t>AnalisisDRF</t>
  </si>
  <si>
    <t>Diseno</t>
  </si>
  <si>
    <t>Desarrollo</t>
  </si>
  <si>
    <t>Pruebas</t>
  </si>
  <si>
    <t>Implementacion</t>
  </si>
  <si>
    <t>Avance</t>
  </si>
  <si>
    <t>Evidencia en sistema</t>
  </si>
  <si>
    <t>DevManual</t>
  </si>
  <si>
    <t>SC_</t>
  </si>
  <si>
    <t>Fase 1 MVP 2027</t>
  </si>
  <si>
    <t>DRF-TH-SC VF; 18 pantallas SC_; RF 01-03 parcial; RF 04-10 no iniciados</t>
  </si>
  <si>
    <t>Desarrollo se calcula desde hoja 09 (promedio RF; catalogos no inflan)</t>
  </si>
  <si>
    <t>Descriptor de puesto</t>
  </si>
  <si>
    <t>DRF Descriptor VF; /sc-descriptor-puesto; RF 01-03/05/07 parcial; RF 04 y 06 no</t>
  </si>
  <si>
    <t>PLA_ / nuevo</t>
  </si>
  <si>
    <t>Sin pantalla ERP de expediente</t>
  </si>
  <si>
    <t>Proceso definido; falta DRF y desarrollo</t>
  </si>
  <si>
    <t>PLA_</t>
  </si>
  <si>
    <t>3 catalogos: puesto; tipo puesto; nivel academico</t>
  </si>
  <si>
    <t>Nucleo MVP; falta nomina y pago</t>
  </si>
  <si>
    <t>CON_</t>
  </si>
  <si>
    <t>Partidas; catalogos; cierre; reportes legales</t>
  </si>
  <si>
    <t>Base visible; flujos aun en construccion</t>
  </si>
  <si>
    <t>BAN_</t>
  </si>
  <si>
    <t>Cheques; documentos; conciliacion; reportes</t>
  </si>
  <si>
    <t>Tesoreria en construccion</t>
  </si>
  <si>
    <t>COM_ / CON_</t>
  </si>
  <si>
    <t>Documentos y OC de Compras como insumo</t>
  </si>
  <si>
    <t>CxP/Pagos prioridad A; ciclo AP incompleto</t>
  </si>
  <si>
    <t>Pantalla /ban-concilia-bancaria</t>
  </si>
  <si>
    <t>Incluida en prioridad A Finanzas (CTD jul 2026)</t>
  </si>
  <si>
    <t>Pendiente / CLASS</t>
  </si>
  <si>
    <t>Demo CTD incluye Admision</t>
  </si>
  <si>
    <t>Inicio visible; operacion actual en CLASS</t>
  </si>
  <si>
    <t>Sin modulo academico en SPA</t>
  </si>
  <si>
    <t>Por hacer: avance 0 hasta que inicie analisis o desarrollo</t>
  </si>
  <si>
    <t>Sin modulo en SGUEES</t>
  </si>
  <si>
    <t>Procedimiento documentado</t>
  </si>
  <si>
    <t>Incluido por alcance institucional; no es nucleo MVP T1-T2 2027</t>
  </si>
  <si>
    <t>Compras (catalogos y documentos visibles)</t>
  </si>
  <si>
    <t>COM_</t>
  </si>
  <si>
    <t>19 pantallas Shop ya construidas; misma tecnologia SPA+API</t>
  </si>
  <si>
    <t>Se pasa a SGUEES y se valida. No cierra la Fase 1 del ERP</t>
  </si>
  <si>
    <t>UN SOLO PROCESO  |  Ciclo de vida SGUEES hacia 2028</t>
  </si>
  <si>
    <t>Proyecto total a 2028</t>
  </si>
  <si>
    <t>Fases abiertas T2 (Ident+Anal+Diseno+Desarrollo)</t>
  </si>
  <si>
    <t>Fase del ciclo</t>
  </si>
  <si>
    <t>Que incluye</t>
  </si>
  <si>
    <t>Periodo</t>
  </si>
  <si>
    <t>AvanceT2</t>
  </si>
  <si>
    <t>2026 H1</t>
  </si>
  <si>
    <t>2026 H2</t>
  </si>
  <si>
    <t>2027 H1</t>
  </si>
  <si>
    <t>2027 H2</t>
  </si>
  <si>
    <t>2028 H1</t>
  </si>
  <si>
    <t>2028 H2</t>
  </si>
  <si>
    <t>C1</t>
  </si>
  <si>
    <t>1. Identificacion de procedimientos</t>
  </si>
  <si>
    <t>DICA: actualizacion del manual. Priorizacion DTI. Este % no es avance de modulos.</t>
  </si>
  <si>
    <t>En curso</t>
  </si>
  <si>
    <t xml:space="preserve"> </t>
  </si>
  <si>
    <t>C2</t>
  </si>
  <si>
    <t>2. Analisis de requerimientos (DRF)</t>
  </si>
  <si>
    <t>Producto DRF sobre procedimientos priorizados. 3 areas abiertas.</t>
  </si>
  <si>
    <t>2026-2028</t>
  </si>
  <si>
    <t>C3</t>
  </si>
  <si>
    <t>3. Diseno y planificacion (fundacion tecnica)</t>
  </si>
  <si>
    <t>Arquitectura; seguridad; estandar de desarrollo; ambientes.</t>
  </si>
  <si>
    <t>C4</t>
  </si>
  <si>
    <t>4. Desarrollo</t>
  </si>
  <si>
    <t>Base y catalogos visibles; flujos de negocio aun en construccion.</t>
  </si>
  <si>
    <t>C5</t>
  </si>
  <si>
    <t>5. Pruebas</t>
  </si>
  <si>
    <t>UAT y prototipo funcional MVP.</t>
  </si>
  <si>
    <t>2027-2028</t>
  </si>
  <si>
    <t>Planificado</t>
  </si>
  <si>
    <t>C6</t>
  </si>
  <si>
    <t>6. Implementacion</t>
  </si>
  <si>
    <t>Puesta en marcha del MVP y oleadas siguientes.</t>
  </si>
  <si>
    <t>C7</t>
  </si>
  <si>
    <t>7. Mantenimiento y soporte</t>
  </si>
  <si>
    <t>Operacion continua post implementacion.</t>
  </si>
  <si>
    <t>Fundacion tecnica (dentro de Diseno y planificacion, 85%)</t>
  </si>
  <si>
    <t>Componente</t>
  </si>
  <si>
    <t>Que cubre</t>
  </si>
  <si>
    <t>Arquitectura SPA + API + BD</t>
  </si>
  <si>
    <t>Angular 18, .NET 8, SQL 192.168.0.250</t>
  </si>
  <si>
    <t>Seguridad y menu</t>
  </si>
  <si>
    <t>JWT, SEG_*, permisos por opcion</t>
  </si>
  <si>
    <t>Estandar de desarrollo</t>
  </si>
  <si>
    <t>Patron mtto A+/A+P, plantillas STI</t>
  </si>
  <si>
    <t>Ambiente productivo</t>
  </si>
  <si>
    <t>wsclass.uees.edu.sv / scc-API</t>
  </si>
  <si>
    <t>Compras (integracion; no cierra Fase 1)</t>
  </si>
  <si>
    <t>Modulo ya construido; se pasa a SGUEES y se valida</t>
  </si>
  <si>
    <t>MVP 2027 (T1-T2)  =  alcance de la FASE 1 del ERP</t>
  </si>
  <si>
    <t>Procedimientos prioridad A</t>
  </si>
  <si>
    <t>Seleccion y contratacion  |  Descriptor  |  Expediente  |  Planillas (nucleo)</t>
  </si>
  <si>
    <t>Contabilidad  |  Caja y bancos  |  CxP/Pagos  |  Conciliacion</t>
  </si>
  <si>
    <t>Admision  |  Socioeconomico  |  Nuevo ingreso  |  Flujo hasta matricula</t>
  </si>
  <si>
    <t>Leyenda Gantt: ambar = en curso  |  azul = planificado  |  gris = pendiente  |  Identificacion DICA no es avance de modulo</t>
  </si>
  <si>
    <t>TALENTO HUMANO  |  FASE 1 MVP 2027</t>
  </si>
  <si>
    <t>Avance tecnico del area</t>
  </si>
  <si>
    <t>(promedio Desarrollo; con DRF = promedio RF)</t>
  </si>
  <si>
    <t>CONTABILIDAD Y FINANZAS  |  FASE 1 MVP 2027</t>
  </si>
  <si>
    <t>ACADEMICO  |  FASE 1 MVP 2027</t>
  </si>
  <si>
    <t>Sin DRF academico aun. Operacion actual en CLASS. Corte CTD T2 oficial Academico 4%.</t>
  </si>
  <si>
    <t>Detalle DRF vs sistema (solo RF; CAT no entra al %)</t>
  </si>
  <si>
    <t>RF construidos</t>
  </si>
  <si>
    <t>RF parciales</t>
  </si>
  <si>
    <t>RF no iniciados</t>
  </si>
  <si>
    <t>Avance RF</t>
  </si>
  <si>
    <t>Catalogos OK</t>
  </si>
  <si>
    <t>Opciones en sistema</t>
  </si>
  <si>
    <t>SGUEES  |  Fase 1 (MVP 2027)  |  Un solo proceso</t>
  </si>
  <si>
    <t>kpi_proyecto</t>
  </si>
  <si>
    <t>kpi_abiertas</t>
  </si>
  <si>
    <t>kpi_diseno</t>
  </si>
  <si>
    <t>kpi_dev</t>
  </si>
  <si>
    <t>kpi_th</t>
  </si>
  <si>
    <t>kpi_cf</t>
  </si>
  <si>
    <t>kpi_ac</t>
  </si>
  <si>
    <t>kpi_drf_th</t>
  </si>
  <si>
    <t>kpi_drf_cf</t>
  </si>
  <si>
    <t>kpi_drf_ac</t>
  </si>
  <si>
    <t>kpi_opt</t>
  </si>
  <si>
    <t>PROYECTO A 2028</t>
  </si>
  <si>
    <t>FASES ABIERTAS T2</t>
  </si>
  <si>
    <t>Ident + Anal + Diseno + Desarrollo</t>
  </si>
  <si>
    <t>DISENO / FUNDACION</t>
  </si>
  <si>
    <t>Arquitectura, seguridad, estandar</t>
  </si>
  <si>
    <t>DESARROLLO CTD</t>
  </si>
  <si>
    <t>Oficial ciclo; no es el % DRF</t>
  </si>
  <si>
    <t>IDENTIFICACION DICA</t>
  </si>
  <si>
    <t>No es avance de modulo</t>
  </si>
  <si>
    <t>Avance tecnico por area (DRF vs sistema cuando hay RF; si no, DevManual)</t>
  </si>
  <si>
    <t>TALENTO HUMANO</t>
  </si>
  <si>
    <t>CONTAB. Y FINANZAS</t>
  </si>
  <si>
    <t>ACADEMICO</t>
  </si>
  <si>
    <t>Kanban backlog</t>
  </si>
  <si>
    <t>Avance DRF consolidado por area  |  alimente estados en hoja 09</t>
  </si>
  <si>
    <t>DRF TALENTO HUMANO</t>
  </si>
  <si>
    <t>Promedio RF del area</t>
  </si>
  <si>
    <t>DRF CONTAB. Y FINANZAS</t>
  </si>
  <si>
    <t>Sin DRF = no hay RF cargados</t>
  </si>
  <si>
    <t>DRF ACADEMICO</t>
  </si>
  <si>
    <t>OPCIONES EN SISTEMA</t>
  </si>
  <si>
    <t>Total pantallas hoja 08</t>
  </si>
  <si>
    <t>Opciones ya en SGUEES (conteo por modulo)</t>
  </si>
  <si>
    <t>Detalle en hoja 08</t>
  </si>
  <si>
    <t>Analisis DRF</t>
  </si>
  <si>
    <t>Mantenimiento</t>
  </si>
  <si>
    <t>DRF</t>
  </si>
  <si>
    <t>Frente</t>
  </si>
  <si>
    <t>Alineado al Informe  julio 2026  -  Universidad Evangelica de El Salvador  -  DTI</t>
  </si>
  <si>
    <t>Arriba: corte oficial   |  Centro: DRF consolidado por area + opciones  |  Por hacer = 0% de avance  |  Acta = Acuerdos del Directorio Ejecutivo</t>
  </si>
  <si>
    <t>Corte T2 (oficial)</t>
  </si>
  <si>
    <t>T2 oficial 8%</t>
  </si>
  <si>
    <t>T2 oficial 6%</t>
  </si>
  <si>
    <t>T2 oficial 4%</t>
  </si>
  <si>
    <t>Ciclo de vida (corte oficial)</t>
  </si>
  <si>
    <t xml:space="preserve"> Ing. Jonathan Avalos  |  Doc 02  |  Corte T2 2026  |  Fase 1 = MVP 2027  |  Alimentar hojas 08 y 09  |  Identificacion DICA no es avance de modulo</t>
  </si>
  <si>
    <t>Fuente: Informe julio 2026. Estos % oficiales NO se pisan con el avance tecnico DRF.</t>
  </si>
  <si>
    <t>DRF cargados: Seleccion VF y Descriptor VF. Corte T2 oficial TH 8% (no se pisa). Avance de area = desarrollo tecnico.</t>
  </si>
  <si>
    <t>Sin DRF de CON/BAN aun: el % usa DevManual. Corte T2 oficial Finanzas 6%. Cargar DRF en hoja 09 reemplazando RF-00.</t>
  </si>
  <si>
    <t>Pantalla de creacion en sistema</t>
  </si>
  <si>
    <t>Falta autorizacion por jefe inmediato; validacion y aprobacion TH; observar</t>
  </si>
  <si>
    <t>Falta reactivar; inactivar; observar</t>
  </si>
  <si>
    <t>FUTURO</t>
  </si>
  <si>
    <t>Fuera del % de desarrollo del proceso nucleo; se retoma despues</t>
  </si>
  <si>
    <t>Fuera del % de desarrollo del proceso nucleo; DRF excluye firma electronica</t>
  </si>
  <si>
    <t>Auditoria de mtto en pantalla</t>
  </si>
  <si>
    <t>DRF Descriptor VF; /sc-descriptor-puesto; falta flujo JI/TH observar y reactivar/inactivar</t>
  </si>
  <si>
    <t>Desarrollo = promedio RF nucleo (no incluye asignacion colaboradores ni doc firmado)</t>
  </si>
  <si>
    <t>FASE 1 = MVP 2027. Escriba el % en Desarrollo (75%, 80%...). Avance copia ese valor. Por hacer = Avance 0%.</t>
  </si>
  <si>
    <t>Avance de modulo = Desarrollo. Identificacion DICA no cuenta. Hoja 09 = detalle DRF (no calcula este %).</t>
  </si>
  <si>
    <t>Avance por procedimiento</t>
  </si>
  <si>
    <t>Demo incluye Admision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</si>
</sst>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212529"/>
      <name val="Calibri"/>
      <family val="2"/>
      <scheme val="minor"/>
    </font>
    <font>
      <b/>
      <sz val="14"/>
      <color rgb="FF003366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2"/>
      <color rgb="FF16A085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3366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3366"/>
      <name val="Calibri"/>
      <family val="2"/>
      <scheme val="minor"/>
    </font>
    <font>
      <b/>
      <sz val="18"/>
      <color rgb="FF2980B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8"/>
      <color rgb="FF16A08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5A626E"/>
      <name val="Calibri"/>
      <family val="2"/>
      <scheme val="minor"/>
    </font>
    <font>
      <b/>
      <sz val="14"/>
      <color rgb="FF27AE60"/>
      <name val="Calibri"/>
      <family val="2"/>
      <scheme val="minor"/>
    </font>
    <font>
      <b/>
      <sz val="14"/>
      <color rgb="FFF39C12"/>
      <name val="Calibri"/>
      <family val="2"/>
      <scheme val="minor"/>
    </font>
    <font>
      <b/>
      <sz val="14"/>
      <color rgb="FFC0392B"/>
      <name val="Calibri"/>
      <family val="2"/>
      <scheme val="minor"/>
    </font>
    <font>
      <b/>
      <sz val="14"/>
      <color rgb="FF95A5A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C9A227"/>
      <name val="Calibri"/>
      <family val="2"/>
      <scheme val="minor"/>
    </font>
    <font>
      <sz val="8"/>
      <color rgb="FF5A626E"/>
      <name val="Calibri"/>
      <family val="2"/>
      <scheme val="minor"/>
    </font>
    <font>
      <sz val="10"/>
      <color rgb="FF212529"/>
      <name val="Calibri"/>
      <family val="2"/>
      <scheme val="minor"/>
    </font>
    <font>
      <b/>
      <sz val="18"/>
      <color rgb="FF003366"/>
      <name val="Calibri"/>
      <family val="2"/>
      <scheme val="minor"/>
    </font>
    <font>
      <b/>
      <sz val="18"/>
      <color rgb="FFF39C12"/>
      <name val="Calibri"/>
      <family val="2"/>
      <scheme val="minor"/>
    </font>
    <font>
      <b/>
      <sz val="10"/>
      <color rgb="FFF39C12"/>
      <name val="Calibri"/>
      <family val="2"/>
      <scheme val="minor"/>
    </font>
    <font>
      <sz val="9"/>
      <color rgb="FF5A626E"/>
      <name val="Calibri"/>
      <family val="2"/>
      <scheme val="minor"/>
    </font>
    <font>
      <b/>
      <sz val="12"/>
      <color rgb="FF003366"/>
      <name val="Calibri"/>
      <family val="2"/>
      <scheme val="minor"/>
    </font>
    <font>
      <b/>
      <sz val="18"/>
      <color rgb="FF8E44AD"/>
      <name val="Calibri"/>
      <family val="2"/>
      <scheme val="minor"/>
    </font>
    <font>
      <b/>
      <sz val="13"/>
      <color rgb="FF003366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0"/>
      <color rgb="FFC8D6E6"/>
      <name val="Calibri"/>
      <family val="2"/>
      <scheme val="minor"/>
    </font>
    <font>
      <b/>
      <sz val="9"/>
      <color rgb="FF003366"/>
      <name val="Calibri"/>
      <family val="2"/>
      <scheme val="minor"/>
    </font>
    <font>
      <b/>
      <sz val="28"/>
      <color rgb="FF003366"/>
      <name val="Calibri"/>
      <family val="2"/>
      <scheme val="minor"/>
    </font>
    <font>
      <b/>
      <sz val="9"/>
      <color rgb="FFF39C12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9"/>
      <color rgb="FF16A085"/>
      <name val="Calibri"/>
      <family val="2"/>
      <scheme val="minor"/>
    </font>
    <font>
      <b/>
      <sz val="28"/>
      <color rgb="FF16A085"/>
      <name val="Calibri"/>
      <family val="2"/>
      <scheme val="minor"/>
    </font>
    <font>
      <b/>
      <sz val="9"/>
      <color rgb="FF2980B9"/>
      <name val="Calibri"/>
      <family val="2"/>
      <scheme val="minor"/>
    </font>
    <font>
      <b/>
      <sz val="28"/>
      <color rgb="FF2980B9"/>
      <name val="Calibri"/>
      <family val="2"/>
      <scheme val="minor"/>
    </font>
    <font>
      <b/>
      <sz val="9"/>
      <color rgb="FF9B59B6"/>
      <name val="Calibri"/>
      <family val="2"/>
      <scheme val="minor"/>
    </font>
    <font>
      <b/>
      <sz val="28"/>
      <color rgb="FF9B59B6"/>
      <name val="Calibri"/>
      <family val="2"/>
      <scheme val="minor"/>
    </font>
    <font>
      <b/>
      <sz val="22"/>
      <color rgb="FF16A085"/>
      <name val="Calibri"/>
      <family val="2"/>
      <scheme val="minor"/>
    </font>
    <font>
      <b/>
      <sz val="22"/>
      <color rgb="FF2980B9"/>
      <name val="Calibri"/>
      <family val="2"/>
      <scheme val="minor"/>
    </font>
    <font>
      <b/>
      <sz val="22"/>
      <color rgb="FF8E44AD"/>
      <name val="Calibri"/>
      <family val="2"/>
      <scheme val="minor"/>
    </font>
    <font>
      <b/>
      <sz val="7"/>
      <color rgb="FFFFFFFF"/>
      <name val="Calibri"/>
      <family val="2"/>
      <scheme val="minor"/>
    </font>
    <font>
      <b/>
      <sz val="16"/>
      <color rgb="FFF39C12"/>
      <name val="Calibri"/>
      <family val="2"/>
      <scheme val="minor"/>
    </font>
    <font>
      <b/>
      <sz val="16"/>
      <color rgb="FF16A085"/>
      <name val="Calibri"/>
      <family val="2"/>
      <scheme val="minor"/>
    </font>
    <font>
      <b/>
      <sz val="16"/>
      <color rgb="FF3498DB"/>
      <name val="Calibri"/>
      <family val="2"/>
      <scheme val="minor"/>
    </font>
    <font>
      <b/>
      <sz val="16"/>
      <color rgb="FF9B59B6"/>
      <name val="Calibri"/>
      <family val="2"/>
      <scheme val="minor"/>
    </font>
    <font>
      <b/>
      <sz val="16"/>
      <color rgb="FF95A5A6"/>
      <name val="Calibri"/>
      <family val="2"/>
      <scheme val="minor"/>
    </font>
    <font>
      <b/>
      <sz val="8"/>
      <color rgb="FF16A085"/>
      <name val="Calibri"/>
      <family val="2"/>
      <scheme val="minor"/>
    </font>
    <font>
      <b/>
      <sz val="8"/>
      <color rgb="FF2980B9"/>
      <name val="Calibri"/>
      <family val="2"/>
      <scheme val="minor"/>
    </font>
    <font>
      <b/>
      <sz val="8"/>
      <color rgb="FF8E44AD"/>
      <name val="Calibri"/>
      <family val="2"/>
      <scheme val="minor"/>
    </font>
    <font>
      <b/>
      <sz val="8"/>
      <color rgb="FF9B59B6"/>
      <name val="Calibri"/>
      <family val="2"/>
      <scheme val="minor"/>
    </font>
    <font>
      <b/>
      <sz val="22"/>
      <color rgb="FF9B59B6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rgb="FF212529"/>
      <name val="Calibri"/>
      <family val="2"/>
      <scheme val="minor"/>
    </font>
    <font>
      <sz val="8"/>
      <color rgb="FFC8C8C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95A5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9B59B6"/>
        <bgColor indexed="64"/>
      </patternFill>
    </fill>
  </fills>
  <borders count="67">
    <border>
      <left/>
      <right/>
      <top/>
      <bottom/>
      <diagonal/>
    </border>
    <border>
      <left style="thin">
        <color rgb="FFD2D8DE"/>
      </left>
      <right style="thin">
        <color rgb="FFD2D8DE"/>
      </right>
      <top style="thin">
        <color rgb="FFD2D8DE"/>
      </top>
      <bottom style="thin">
        <color rgb="FFD2D8DE"/>
      </bottom>
      <diagonal/>
    </border>
    <border>
      <left style="thin">
        <color rgb="FFD2D8DE"/>
      </left>
      <right style="thin">
        <color rgb="FFD2D8DE"/>
      </right>
      <top/>
      <bottom style="thin">
        <color rgb="FFD2D8DE"/>
      </bottom>
      <diagonal/>
    </border>
    <border>
      <left style="thin">
        <color rgb="FFD2D8DE"/>
      </left>
      <right style="thin">
        <color rgb="FFD2D8DE"/>
      </right>
      <top style="thin">
        <color rgb="FFD2D8DE"/>
      </top>
      <bottom/>
      <diagonal/>
    </border>
    <border>
      <left/>
      <right style="thin">
        <color rgb="FFD2D8DE"/>
      </right>
      <top/>
      <bottom style="thin">
        <color rgb="FFD2D8DE"/>
      </bottom>
      <diagonal/>
    </border>
    <border>
      <left/>
      <right style="thin">
        <color rgb="FFD2D8DE"/>
      </right>
      <top style="thin">
        <color rgb="FFD2D8DE"/>
      </top>
      <bottom style="thin">
        <color rgb="FFD2D8DE"/>
      </bottom>
      <diagonal/>
    </border>
    <border>
      <left/>
      <right style="thin">
        <color rgb="FFD2D8DE"/>
      </right>
      <top style="thin">
        <color rgb="FFD2D8DE"/>
      </top>
      <bottom/>
      <diagonal/>
    </border>
    <border>
      <left style="thin">
        <color rgb="FFD2D8DE"/>
      </left>
      <right/>
      <top/>
      <bottom style="thin">
        <color rgb="FFD2D8DE"/>
      </bottom>
      <diagonal/>
    </border>
    <border>
      <left style="thin">
        <color rgb="FFD2D8DE"/>
      </left>
      <right/>
      <top style="thin">
        <color rgb="FFD2D8DE"/>
      </top>
      <bottom style="thin">
        <color rgb="FFD2D8DE"/>
      </bottom>
      <diagonal/>
    </border>
    <border>
      <left style="thin">
        <color rgb="FFD2D8DE"/>
      </left>
      <right/>
      <top style="thin">
        <color rgb="FFD2D8DE"/>
      </top>
      <bottom/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/>
      <top style="medium">
        <color rgb="FF003366"/>
      </top>
      <bottom/>
      <diagonal/>
    </border>
    <border>
      <left/>
      <right/>
      <top style="medium">
        <color rgb="FF003366"/>
      </top>
      <bottom/>
      <diagonal/>
    </border>
    <border>
      <left/>
      <right style="medium">
        <color rgb="FF003366"/>
      </right>
      <top style="medium">
        <color rgb="FF003366"/>
      </top>
      <bottom/>
      <diagonal/>
    </border>
    <border>
      <left style="medium">
        <color rgb="FF003366"/>
      </left>
      <right/>
      <top/>
      <bottom style="medium">
        <color rgb="FF003366"/>
      </bottom>
      <diagonal/>
    </border>
    <border>
      <left/>
      <right/>
      <top/>
      <bottom style="medium">
        <color rgb="FF003366"/>
      </bottom>
      <diagonal/>
    </border>
    <border>
      <left/>
      <right style="medium">
        <color rgb="FF003366"/>
      </right>
      <top/>
      <bottom style="medium">
        <color rgb="FF003366"/>
      </bottom>
      <diagonal/>
    </border>
    <border>
      <left style="medium">
        <color rgb="FF003366"/>
      </left>
      <right/>
      <top style="medium">
        <color rgb="FFF39C12"/>
      </top>
      <bottom style="medium">
        <color rgb="FFF39C12"/>
      </bottom>
      <diagonal/>
    </border>
    <border>
      <left/>
      <right/>
      <top style="medium">
        <color rgb="FFF39C12"/>
      </top>
      <bottom style="medium">
        <color rgb="FFF39C12"/>
      </bottom>
      <diagonal/>
    </border>
    <border>
      <left/>
      <right style="medium">
        <color rgb="FFF39C12"/>
      </right>
      <top style="medium">
        <color rgb="FFF39C12"/>
      </top>
      <bottom style="medium">
        <color rgb="FFF39C12"/>
      </bottom>
      <diagonal/>
    </border>
    <border>
      <left style="medium">
        <color rgb="FF003366"/>
      </left>
      <right/>
      <top style="medium">
        <color rgb="FFF39C12"/>
      </top>
      <bottom/>
      <diagonal/>
    </border>
    <border>
      <left/>
      <right/>
      <top style="medium">
        <color rgb="FFF39C12"/>
      </top>
      <bottom/>
      <diagonal/>
    </border>
    <border>
      <left/>
      <right style="medium">
        <color rgb="FFF39C12"/>
      </right>
      <top style="medium">
        <color rgb="FFF39C12"/>
      </top>
      <bottom/>
      <diagonal/>
    </border>
    <border>
      <left style="medium">
        <color rgb="FF003366"/>
      </left>
      <right/>
      <top/>
      <bottom style="medium">
        <color rgb="FFF39C12"/>
      </bottom>
      <diagonal/>
    </border>
    <border>
      <left/>
      <right/>
      <top/>
      <bottom style="medium">
        <color rgb="FFF39C12"/>
      </bottom>
      <diagonal/>
    </border>
    <border>
      <left/>
      <right style="medium">
        <color rgb="FFF39C12"/>
      </right>
      <top/>
      <bottom style="medium">
        <color rgb="FFF39C12"/>
      </bottom>
      <diagonal/>
    </border>
    <border>
      <left style="medium">
        <color rgb="FF16A085"/>
      </left>
      <right/>
      <top style="medium">
        <color rgb="FF16A085"/>
      </top>
      <bottom style="medium">
        <color rgb="FF16A085"/>
      </bottom>
      <diagonal/>
    </border>
    <border>
      <left/>
      <right/>
      <top style="medium">
        <color rgb="FF16A085"/>
      </top>
      <bottom style="medium">
        <color rgb="FF16A085"/>
      </bottom>
      <diagonal/>
    </border>
    <border>
      <left/>
      <right style="medium">
        <color rgb="FF16A085"/>
      </right>
      <top style="medium">
        <color rgb="FF16A085"/>
      </top>
      <bottom style="medium">
        <color rgb="FF16A085"/>
      </bottom>
      <diagonal/>
    </border>
    <border>
      <left style="medium">
        <color rgb="FF16A085"/>
      </left>
      <right/>
      <top style="medium">
        <color rgb="FF16A085"/>
      </top>
      <bottom/>
      <diagonal/>
    </border>
    <border>
      <left/>
      <right/>
      <top style="medium">
        <color rgb="FF16A085"/>
      </top>
      <bottom/>
      <diagonal/>
    </border>
    <border>
      <left/>
      <right style="medium">
        <color rgb="FF16A085"/>
      </right>
      <top style="medium">
        <color rgb="FF16A085"/>
      </top>
      <bottom/>
      <diagonal/>
    </border>
    <border>
      <left style="medium">
        <color rgb="FF16A085"/>
      </left>
      <right/>
      <top/>
      <bottom style="medium">
        <color rgb="FF16A085"/>
      </bottom>
      <diagonal/>
    </border>
    <border>
      <left/>
      <right/>
      <top/>
      <bottom style="medium">
        <color rgb="FF16A085"/>
      </bottom>
      <diagonal/>
    </border>
    <border>
      <left/>
      <right style="medium">
        <color rgb="FF16A085"/>
      </right>
      <top/>
      <bottom style="medium">
        <color rgb="FF16A085"/>
      </bottom>
      <diagonal/>
    </border>
    <border>
      <left style="medium">
        <color rgb="FF2980B9"/>
      </left>
      <right/>
      <top style="medium">
        <color rgb="FF2980B9"/>
      </top>
      <bottom style="medium">
        <color rgb="FF2980B9"/>
      </bottom>
      <diagonal/>
    </border>
    <border>
      <left/>
      <right/>
      <top style="medium">
        <color rgb="FF2980B9"/>
      </top>
      <bottom style="medium">
        <color rgb="FF2980B9"/>
      </bottom>
      <diagonal/>
    </border>
    <border>
      <left/>
      <right style="medium">
        <color rgb="FF2980B9"/>
      </right>
      <top style="medium">
        <color rgb="FF2980B9"/>
      </top>
      <bottom style="medium">
        <color rgb="FF2980B9"/>
      </bottom>
      <diagonal/>
    </border>
    <border>
      <left style="medium">
        <color rgb="FF2980B9"/>
      </left>
      <right/>
      <top style="medium">
        <color rgb="FF2980B9"/>
      </top>
      <bottom/>
      <diagonal/>
    </border>
    <border>
      <left/>
      <right/>
      <top style="medium">
        <color rgb="FF2980B9"/>
      </top>
      <bottom/>
      <diagonal/>
    </border>
    <border>
      <left/>
      <right style="medium">
        <color rgb="FF2980B9"/>
      </right>
      <top style="medium">
        <color rgb="FF2980B9"/>
      </top>
      <bottom/>
      <diagonal/>
    </border>
    <border>
      <left style="medium">
        <color rgb="FF2980B9"/>
      </left>
      <right/>
      <top/>
      <bottom style="medium">
        <color rgb="FF2980B9"/>
      </bottom>
      <diagonal/>
    </border>
    <border>
      <left/>
      <right/>
      <top/>
      <bottom style="medium">
        <color rgb="FF2980B9"/>
      </bottom>
      <diagonal/>
    </border>
    <border>
      <left/>
      <right style="medium">
        <color rgb="FF2980B9"/>
      </right>
      <top/>
      <bottom style="medium">
        <color rgb="FF2980B9"/>
      </bottom>
      <diagonal/>
    </border>
    <border>
      <left style="medium">
        <color rgb="FF2980B9"/>
      </left>
      <right/>
      <top style="medium">
        <color rgb="FF9B59B6"/>
      </top>
      <bottom style="medium">
        <color rgb="FF9B59B6"/>
      </bottom>
      <diagonal/>
    </border>
    <border>
      <left/>
      <right/>
      <top style="medium">
        <color rgb="FF9B59B6"/>
      </top>
      <bottom style="medium">
        <color rgb="FF9B59B6"/>
      </bottom>
      <diagonal/>
    </border>
    <border>
      <left/>
      <right style="medium">
        <color rgb="FF9B59B6"/>
      </right>
      <top style="medium">
        <color rgb="FF9B59B6"/>
      </top>
      <bottom style="medium">
        <color rgb="FF9B59B6"/>
      </bottom>
      <diagonal/>
    </border>
    <border>
      <left style="medium">
        <color rgb="FF2980B9"/>
      </left>
      <right/>
      <top style="medium">
        <color rgb="FF9B59B6"/>
      </top>
      <bottom/>
      <diagonal/>
    </border>
    <border>
      <left/>
      <right/>
      <top style="medium">
        <color rgb="FF9B59B6"/>
      </top>
      <bottom/>
      <diagonal/>
    </border>
    <border>
      <left/>
      <right style="medium">
        <color rgb="FF9B59B6"/>
      </right>
      <top style="medium">
        <color rgb="FF9B59B6"/>
      </top>
      <bottom/>
      <diagonal/>
    </border>
    <border>
      <left style="medium">
        <color rgb="FF2980B9"/>
      </left>
      <right/>
      <top/>
      <bottom style="medium">
        <color rgb="FF9B59B6"/>
      </bottom>
      <diagonal/>
    </border>
    <border>
      <left/>
      <right/>
      <top/>
      <bottom style="medium">
        <color rgb="FF9B59B6"/>
      </bottom>
      <diagonal/>
    </border>
    <border>
      <left/>
      <right style="medium">
        <color rgb="FF9B59B6"/>
      </right>
      <top/>
      <bottom style="medium">
        <color rgb="FF9B59B6"/>
      </bottom>
      <diagonal/>
    </border>
    <border>
      <left style="medium">
        <color rgb="FF8E44AD"/>
      </left>
      <right/>
      <top style="medium">
        <color rgb="FF8E44AD"/>
      </top>
      <bottom style="medium">
        <color rgb="FF8E44AD"/>
      </bottom>
      <diagonal/>
    </border>
    <border>
      <left/>
      <right/>
      <top style="medium">
        <color rgb="FF8E44AD"/>
      </top>
      <bottom style="medium">
        <color rgb="FF8E44AD"/>
      </bottom>
      <diagonal/>
    </border>
    <border>
      <left/>
      <right style="medium">
        <color rgb="FF8E44AD"/>
      </right>
      <top style="medium">
        <color rgb="FF8E44AD"/>
      </top>
      <bottom style="medium">
        <color rgb="FF8E44AD"/>
      </bottom>
      <diagonal/>
    </border>
    <border>
      <left style="medium">
        <color rgb="FF8E44AD"/>
      </left>
      <right/>
      <top style="medium">
        <color rgb="FF8E44AD"/>
      </top>
      <bottom/>
      <diagonal/>
    </border>
    <border>
      <left/>
      <right/>
      <top style="medium">
        <color rgb="FF8E44AD"/>
      </top>
      <bottom/>
      <diagonal/>
    </border>
    <border>
      <left/>
      <right style="medium">
        <color rgb="FF8E44AD"/>
      </right>
      <top style="medium">
        <color rgb="FF8E44AD"/>
      </top>
      <bottom/>
      <diagonal/>
    </border>
    <border>
      <left style="medium">
        <color rgb="FF8E44AD"/>
      </left>
      <right/>
      <top/>
      <bottom style="medium">
        <color rgb="FF8E44AD"/>
      </bottom>
      <diagonal/>
    </border>
    <border>
      <left/>
      <right/>
      <top/>
      <bottom style="medium">
        <color rgb="FF8E44AD"/>
      </bottom>
      <diagonal/>
    </border>
    <border>
      <left/>
      <right style="medium">
        <color rgb="FF8E44AD"/>
      </right>
      <top/>
      <bottom style="medium">
        <color rgb="FF8E44AD"/>
      </bottom>
      <diagonal/>
    </border>
    <border>
      <left style="medium">
        <color rgb="FF8E44AD"/>
      </left>
      <right/>
      <top style="medium">
        <color rgb="FF9B59B6"/>
      </top>
      <bottom style="medium">
        <color rgb="FF9B59B6"/>
      </bottom>
      <diagonal/>
    </border>
    <border>
      <left style="medium">
        <color rgb="FF8E44AD"/>
      </left>
      <right/>
      <top style="medium">
        <color rgb="FF9B59B6"/>
      </top>
      <bottom/>
      <diagonal/>
    </border>
    <border>
      <left style="medium">
        <color rgb="FF8E44AD"/>
      </left>
      <right/>
      <top/>
      <bottom style="medium">
        <color rgb="FF9B59B6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2" borderId="0" xfId="0" applyFill="1"/>
    <xf numFmtId="0" fontId="3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9" fillId="0" borderId="0" xfId="0" applyFont="1"/>
    <xf numFmtId="0" fontId="10" fillId="0" borderId="0" xfId="0" applyFont="1"/>
    <xf numFmtId="0" fontId="11" fillId="2" borderId="0" xfId="0" applyFont="1" applyFill="1"/>
    <xf numFmtId="0" fontId="6" fillId="3" borderId="0" xfId="0" applyFont="1" applyFill="1"/>
    <xf numFmtId="9" fontId="0" fillId="0" borderId="0" xfId="0" applyNumberFormat="1"/>
    <xf numFmtId="9" fontId="12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13" fillId="3" borderId="0" xfId="0" applyFont="1" applyFill="1"/>
    <xf numFmtId="0" fontId="22" fillId="0" borderId="0" xfId="0" applyFont="1"/>
    <xf numFmtId="0" fontId="11" fillId="2" borderId="0" xfId="0" applyFont="1" applyFill="1" applyAlignment="1">
      <alignment horizontal="center"/>
    </xf>
    <xf numFmtId="0" fontId="23" fillId="0" borderId="0" xfId="0" applyFont="1"/>
    <xf numFmtId="0" fontId="23" fillId="3" borderId="0" xfId="0" applyFont="1" applyFill="1"/>
    <xf numFmtId="9" fontId="24" fillId="0" borderId="0" xfId="0" applyNumberFormat="1" applyFont="1"/>
    <xf numFmtId="9" fontId="25" fillId="0" borderId="0" xfId="0" applyNumberFormat="1" applyFont="1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26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9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  <xf numFmtId="9" fontId="0" fillId="0" borderId="3" xfId="0" applyNumberFormat="1" applyBorder="1"/>
    <xf numFmtId="0" fontId="0" fillId="5" borderId="3" xfId="0" applyFill="1" applyBorder="1"/>
    <xf numFmtId="0" fontId="0" fillId="7" borderId="3" xfId="0" applyFill="1" applyBorder="1"/>
    <xf numFmtId="0" fontId="19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9" fillId="2" borderId="7" xfId="0" applyFont="1" applyFill="1" applyBorder="1" applyAlignment="1">
      <alignment horizontal="center"/>
    </xf>
    <xf numFmtId="0" fontId="0" fillId="5" borderId="8" xfId="0" applyFill="1" applyBorder="1"/>
    <xf numFmtId="0" fontId="0" fillId="4" borderId="8" xfId="0" applyFill="1" applyBorder="1"/>
    <xf numFmtId="0" fontId="0" fillId="6" borderId="8" xfId="0" applyFill="1" applyBorder="1"/>
    <xf numFmtId="0" fontId="0" fillId="7" borderId="9" xfId="0" applyFill="1" applyBorder="1"/>
    <xf numFmtId="0" fontId="11" fillId="2" borderId="1" xfId="0" applyFont="1" applyFill="1" applyBorder="1"/>
    <xf numFmtId="0" fontId="27" fillId="0" borderId="0" xfId="0" applyFont="1"/>
    <xf numFmtId="0" fontId="28" fillId="0" borderId="0" xfId="0" applyFont="1"/>
    <xf numFmtId="9" fontId="10" fillId="0" borderId="0" xfId="0" applyNumberFormat="1" applyFont="1"/>
    <xf numFmtId="9" fontId="29" fillId="0" borderId="0" xfId="0" applyNumberFormat="1" applyFont="1"/>
    <xf numFmtId="0" fontId="30" fillId="0" borderId="0" xfId="0" applyFont="1"/>
    <xf numFmtId="0" fontId="19" fillId="2" borderId="1" xfId="0" applyFont="1" applyFill="1" applyBorder="1"/>
    <xf numFmtId="0" fontId="0" fillId="8" borderId="0" xfId="0" applyFill="1"/>
    <xf numFmtId="0" fontId="0" fillId="9" borderId="0" xfId="0" applyFill="1"/>
    <xf numFmtId="0" fontId="3" fillId="8" borderId="0" xfId="0" applyFont="1" applyFill="1"/>
    <xf numFmtId="0" fontId="22" fillId="8" borderId="0" xfId="0" applyFont="1" applyFill="1"/>
    <xf numFmtId="0" fontId="47" fillId="4" borderId="0" xfId="0" applyFont="1" applyFill="1" applyAlignment="1">
      <alignment horizontal="center" wrapText="1"/>
    </xf>
    <xf numFmtId="0" fontId="48" fillId="8" borderId="0" xfId="0" applyFont="1" applyFill="1" applyAlignment="1">
      <alignment horizontal="center"/>
    </xf>
    <xf numFmtId="0" fontId="47" fillId="10" borderId="0" xfId="0" applyFont="1" applyFill="1" applyAlignment="1">
      <alignment horizontal="center" wrapText="1"/>
    </xf>
    <xf numFmtId="0" fontId="49" fillId="8" borderId="0" xfId="0" applyFont="1" applyFill="1" applyAlignment="1">
      <alignment horizontal="center"/>
    </xf>
    <xf numFmtId="0" fontId="47" fillId="6" borderId="0" xfId="0" applyFont="1" applyFill="1" applyAlignment="1">
      <alignment horizontal="center" wrapText="1"/>
    </xf>
    <xf numFmtId="0" fontId="50" fillId="8" borderId="0" xfId="0" applyFont="1" applyFill="1" applyAlignment="1">
      <alignment horizontal="center"/>
    </xf>
    <xf numFmtId="0" fontId="47" fillId="13" borderId="0" xfId="0" applyFont="1" applyFill="1" applyAlignment="1">
      <alignment horizontal="center" wrapText="1"/>
    </xf>
    <xf numFmtId="0" fontId="51" fillId="8" borderId="0" xfId="0" applyFont="1" applyFill="1" applyAlignment="1">
      <alignment horizontal="center"/>
    </xf>
    <xf numFmtId="0" fontId="47" fillId="7" borderId="0" xfId="0" applyFont="1" applyFill="1" applyAlignment="1">
      <alignment horizontal="center" wrapText="1"/>
    </xf>
    <xf numFmtId="0" fontId="52" fillId="8" borderId="0" xfId="0" applyFont="1" applyFill="1" applyAlignment="1">
      <alignment horizontal="center"/>
    </xf>
    <xf numFmtId="0" fontId="28" fillId="8" borderId="0" xfId="0" applyFont="1" applyFill="1"/>
    <xf numFmtId="0" fontId="58" fillId="2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27" fillId="8" borderId="0" xfId="0" applyFont="1" applyFill="1"/>
    <xf numFmtId="9" fontId="3" fillId="8" borderId="1" xfId="0" applyNumberFormat="1" applyFont="1" applyFill="1" applyBorder="1" applyAlignment="1">
      <alignment horizontal="center"/>
    </xf>
    <xf numFmtId="0" fontId="59" fillId="8" borderId="1" xfId="0" applyFont="1" applyFill="1" applyBorder="1"/>
    <xf numFmtId="9" fontId="59" fillId="8" borderId="1" xfId="0" applyNumberFormat="1" applyFont="1" applyFill="1" applyBorder="1"/>
    <xf numFmtId="0" fontId="60" fillId="0" borderId="0" xfId="0" applyFont="1"/>
    <xf numFmtId="9" fontId="60" fillId="0" borderId="0" xfId="0" applyNumberFormat="1" applyFont="1"/>
    <xf numFmtId="0" fontId="61" fillId="0" borderId="0" xfId="0" applyFont="1"/>
    <xf numFmtId="0" fontId="42" fillId="8" borderId="46" xfId="0" applyFont="1" applyFill="1" applyBorder="1" applyAlignment="1">
      <alignment horizontal="center"/>
    </xf>
    <xf numFmtId="0" fontId="0" fillId="8" borderId="47" xfId="0" applyFill="1" applyBorder="1" applyAlignment="1">
      <alignment horizontal="center"/>
    </xf>
    <xf numFmtId="0" fontId="0" fillId="8" borderId="48" xfId="0" applyFill="1" applyBorder="1" applyAlignment="1">
      <alignment horizontal="center"/>
    </xf>
    <xf numFmtId="9" fontId="43" fillId="8" borderId="49" xfId="0" applyNumberFormat="1" applyFont="1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0" fontId="0" fillId="8" borderId="53" xfId="0" applyFill="1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0" fontId="22" fillId="8" borderId="49" xfId="0" applyFont="1" applyFill="1" applyBorder="1" applyAlignment="1">
      <alignment horizontal="center" wrapText="1"/>
    </xf>
    <xf numFmtId="0" fontId="0" fillId="8" borderId="50" xfId="0" applyFill="1" applyBorder="1" applyAlignment="1">
      <alignment horizontal="center" wrapText="1"/>
    </xf>
    <xf numFmtId="0" fontId="0" fillId="8" borderId="51" xfId="0" applyFill="1" applyBorder="1" applyAlignment="1">
      <alignment horizontal="center" wrapText="1"/>
    </xf>
    <xf numFmtId="0" fontId="0" fillId="8" borderId="52" xfId="0" applyFill="1" applyBorder="1" applyAlignment="1">
      <alignment horizontal="center" wrapText="1"/>
    </xf>
    <xf numFmtId="0" fontId="0" fillId="8" borderId="53" xfId="0" applyFill="1" applyBorder="1" applyAlignment="1">
      <alignment horizontal="center" wrapText="1"/>
    </xf>
    <xf numFmtId="0" fontId="0" fillId="8" borderId="54" xfId="0" applyFill="1" applyBorder="1" applyAlignment="1">
      <alignment horizontal="center" wrapText="1"/>
    </xf>
    <xf numFmtId="0" fontId="31" fillId="2" borderId="0" xfId="0" applyFont="1" applyFill="1" applyAlignment="1">
      <alignment vertical="center"/>
    </xf>
    <xf numFmtId="0" fontId="32" fillId="2" borderId="0" xfId="0" applyFont="1" applyFill="1"/>
    <xf numFmtId="0" fontId="33" fillId="2" borderId="0" xfId="0" applyFont="1" applyFill="1"/>
    <xf numFmtId="0" fontId="34" fillId="8" borderId="10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9" fontId="35" fillId="8" borderId="13" xfId="0" applyNumberFormat="1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22" fillId="8" borderId="13" xfId="0" applyFont="1" applyFill="1" applyBorder="1" applyAlignment="1">
      <alignment horizontal="center" wrapText="1"/>
    </xf>
    <xf numFmtId="0" fontId="0" fillId="8" borderId="14" xfId="0" applyFill="1" applyBorder="1" applyAlignment="1">
      <alignment horizontal="center" wrapText="1"/>
    </xf>
    <xf numFmtId="0" fontId="0" fillId="8" borderId="15" xfId="0" applyFill="1" applyBorder="1" applyAlignment="1">
      <alignment horizontal="center" wrapText="1"/>
    </xf>
    <xf numFmtId="0" fontId="0" fillId="8" borderId="16" xfId="0" applyFill="1" applyBorder="1" applyAlignment="1">
      <alignment horizontal="center" wrapText="1"/>
    </xf>
    <xf numFmtId="0" fontId="0" fillId="8" borderId="17" xfId="0" applyFill="1" applyBorder="1" applyAlignment="1">
      <alignment horizontal="center" wrapText="1"/>
    </xf>
    <xf numFmtId="0" fontId="0" fillId="8" borderId="18" xfId="0" applyFill="1" applyBorder="1" applyAlignment="1">
      <alignment horizontal="center" wrapText="1"/>
    </xf>
    <xf numFmtId="0" fontId="36" fillId="8" borderId="19" xfId="0" applyFon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9" fontId="37" fillId="8" borderId="22" xfId="0" applyNumberFormat="1" applyFont="1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22" fillId="8" borderId="22" xfId="0" applyFont="1" applyFill="1" applyBorder="1" applyAlignment="1">
      <alignment horizontal="center" wrapText="1"/>
    </xf>
    <xf numFmtId="0" fontId="0" fillId="8" borderId="23" xfId="0" applyFill="1" applyBorder="1" applyAlignment="1">
      <alignment horizontal="center" wrapText="1"/>
    </xf>
    <xf numFmtId="0" fontId="0" fillId="8" borderId="24" xfId="0" applyFill="1" applyBorder="1" applyAlignment="1">
      <alignment horizontal="center" wrapText="1"/>
    </xf>
    <xf numFmtId="0" fontId="0" fillId="8" borderId="25" xfId="0" applyFill="1" applyBorder="1" applyAlignment="1">
      <alignment horizontal="center" wrapText="1"/>
    </xf>
    <xf numFmtId="0" fontId="0" fillId="8" borderId="26" xfId="0" applyFill="1" applyBorder="1" applyAlignment="1">
      <alignment horizontal="center" wrapText="1"/>
    </xf>
    <xf numFmtId="0" fontId="0" fillId="8" borderId="27" xfId="0" applyFill="1" applyBorder="1" applyAlignment="1">
      <alignment horizontal="center" wrapText="1"/>
    </xf>
    <xf numFmtId="0" fontId="38" fillId="8" borderId="28" xfId="0" applyFont="1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9" fontId="39" fillId="8" borderId="31" xfId="0" applyNumberFormat="1" applyFont="1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22" fillId="8" borderId="31" xfId="0" applyFont="1" applyFill="1" applyBorder="1" applyAlignment="1">
      <alignment horizontal="center" wrapText="1"/>
    </xf>
    <xf numFmtId="0" fontId="0" fillId="8" borderId="32" xfId="0" applyFill="1" applyBorder="1" applyAlignment="1">
      <alignment horizontal="center" wrapText="1"/>
    </xf>
    <xf numFmtId="0" fontId="0" fillId="8" borderId="33" xfId="0" applyFill="1" applyBorder="1" applyAlignment="1">
      <alignment horizontal="center" wrapText="1"/>
    </xf>
    <xf numFmtId="0" fontId="0" fillId="8" borderId="34" xfId="0" applyFill="1" applyBorder="1" applyAlignment="1">
      <alignment horizontal="center" wrapText="1"/>
    </xf>
    <xf numFmtId="0" fontId="0" fillId="8" borderId="35" xfId="0" applyFill="1" applyBorder="1" applyAlignment="1">
      <alignment horizontal="center" wrapText="1"/>
    </xf>
    <xf numFmtId="0" fontId="0" fillId="8" borderId="36" xfId="0" applyFill="1" applyBorder="1" applyAlignment="1">
      <alignment horizontal="center" wrapText="1"/>
    </xf>
    <xf numFmtId="0" fontId="40" fillId="8" borderId="37" xfId="0" applyFont="1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9" fontId="41" fillId="8" borderId="40" xfId="0" applyNumberFormat="1" applyFont="1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0" fontId="0" fillId="8" borderId="42" xfId="0" applyFill="1" applyBorder="1" applyAlignment="1">
      <alignment horizontal="center" vertical="center"/>
    </xf>
    <xf numFmtId="0" fontId="0" fillId="8" borderId="43" xfId="0" applyFill="1" applyBorder="1" applyAlignment="1">
      <alignment horizontal="center" vertical="center"/>
    </xf>
    <xf numFmtId="0" fontId="0" fillId="8" borderId="44" xfId="0" applyFill="1" applyBorder="1" applyAlignment="1">
      <alignment horizontal="center" vertical="center"/>
    </xf>
    <xf numFmtId="0" fontId="0" fillId="8" borderId="45" xfId="0" applyFill="1" applyBorder="1" applyAlignment="1">
      <alignment horizontal="center" vertical="center"/>
    </xf>
    <xf numFmtId="0" fontId="22" fillId="8" borderId="40" xfId="0" applyFont="1" applyFill="1" applyBorder="1" applyAlignment="1">
      <alignment horizontal="center" wrapText="1"/>
    </xf>
    <xf numFmtId="0" fontId="0" fillId="8" borderId="41" xfId="0" applyFill="1" applyBorder="1" applyAlignment="1">
      <alignment horizontal="center" wrapText="1"/>
    </xf>
    <xf numFmtId="0" fontId="0" fillId="8" borderId="42" xfId="0" applyFill="1" applyBorder="1" applyAlignment="1">
      <alignment horizontal="center" wrapText="1"/>
    </xf>
    <xf numFmtId="0" fontId="0" fillId="8" borderId="43" xfId="0" applyFill="1" applyBorder="1" applyAlignment="1">
      <alignment horizontal="center" wrapText="1"/>
    </xf>
    <xf numFmtId="0" fontId="0" fillId="8" borderId="44" xfId="0" applyFill="1" applyBorder="1" applyAlignment="1">
      <alignment horizontal="center" wrapText="1"/>
    </xf>
    <xf numFmtId="0" fontId="0" fillId="8" borderId="45" xfId="0" applyFill="1" applyBorder="1" applyAlignment="1">
      <alignment horizontal="center" wrapText="1"/>
    </xf>
    <xf numFmtId="0" fontId="19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9" fontId="44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9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9" fontId="45" fillId="5" borderId="0" xfId="0" applyNumberFormat="1" applyFont="1" applyFill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9" fontId="46" fillId="5" borderId="0" xfId="0" applyNumberFormat="1" applyFont="1" applyFill="1" applyAlignment="1">
      <alignment horizontal="center" vertical="center"/>
    </xf>
    <xf numFmtId="0" fontId="27" fillId="8" borderId="0" xfId="0" applyFont="1" applyFill="1"/>
    <xf numFmtId="0" fontId="55" fillId="8" borderId="55" xfId="0" applyFont="1" applyFill="1" applyBorder="1" applyAlignment="1">
      <alignment horizontal="center"/>
    </xf>
    <xf numFmtId="0" fontId="0" fillId="8" borderId="56" xfId="0" applyFill="1" applyBorder="1" applyAlignment="1">
      <alignment horizontal="center"/>
    </xf>
    <xf numFmtId="0" fontId="0" fillId="8" borderId="57" xfId="0" applyFill="1" applyBorder="1" applyAlignment="1">
      <alignment horizontal="center"/>
    </xf>
    <xf numFmtId="9" fontId="46" fillId="8" borderId="58" xfId="0" applyNumberFormat="1" applyFont="1" applyFill="1" applyBorder="1" applyAlignment="1">
      <alignment horizontal="center" vertical="center"/>
    </xf>
    <xf numFmtId="0" fontId="0" fillId="8" borderId="59" xfId="0" applyFill="1" applyBorder="1" applyAlignment="1">
      <alignment horizontal="center" vertical="center"/>
    </xf>
    <xf numFmtId="0" fontId="0" fillId="8" borderId="60" xfId="0" applyFill="1" applyBorder="1" applyAlignment="1">
      <alignment horizontal="center" vertical="center"/>
    </xf>
    <xf numFmtId="0" fontId="0" fillId="8" borderId="61" xfId="0" applyFill="1" applyBorder="1" applyAlignment="1">
      <alignment horizontal="center" vertical="center"/>
    </xf>
    <xf numFmtId="0" fontId="0" fillId="8" borderId="62" xfId="0" applyFill="1" applyBorder="1" applyAlignment="1">
      <alignment horizontal="center" vertical="center"/>
    </xf>
    <xf numFmtId="0" fontId="0" fillId="8" borderId="63" xfId="0" applyFill="1" applyBorder="1" applyAlignment="1">
      <alignment horizontal="center" vertical="center"/>
    </xf>
    <xf numFmtId="0" fontId="22" fillId="8" borderId="55" xfId="0" applyFont="1" applyFill="1" applyBorder="1" applyAlignment="1">
      <alignment horizontal="center"/>
    </xf>
    <xf numFmtId="0" fontId="56" fillId="8" borderId="64" xfId="0" applyFont="1" applyFill="1" applyBorder="1" applyAlignment="1">
      <alignment horizontal="center"/>
    </xf>
    <xf numFmtId="1" fontId="57" fillId="8" borderId="65" xfId="0" applyNumberFormat="1" applyFont="1" applyFill="1" applyBorder="1" applyAlignment="1">
      <alignment horizontal="center" vertical="center"/>
    </xf>
    <xf numFmtId="0" fontId="0" fillId="8" borderId="66" xfId="0" applyFill="1" applyBorder="1" applyAlignment="1">
      <alignment horizontal="center" vertical="center"/>
    </xf>
    <xf numFmtId="0" fontId="22" fillId="8" borderId="64" xfId="0" applyFont="1" applyFill="1" applyBorder="1" applyAlignment="1">
      <alignment horizontal="center"/>
    </xf>
    <xf numFmtId="0" fontId="53" fillId="8" borderId="28" xfId="0" applyFont="1" applyFill="1" applyBorder="1" applyAlignment="1">
      <alignment horizontal="center"/>
    </xf>
    <xf numFmtId="9" fontId="44" fillId="8" borderId="31" xfId="0" applyNumberFormat="1" applyFont="1" applyFill="1" applyBorder="1" applyAlignment="1">
      <alignment horizontal="center" vertical="center"/>
    </xf>
    <xf numFmtId="0" fontId="22" fillId="8" borderId="28" xfId="0" applyFont="1" applyFill="1" applyBorder="1" applyAlignment="1">
      <alignment horizontal="center"/>
    </xf>
    <xf numFmtId="0" fontId="54" fillId="8" borderId="37" xfId="0" applyFont="1" applyFill="1" applyBorder="1" applyAlignment="1">
      <alignment horizontal="center"/>
    </xf>
    <xf numFmtId="9" fontId="45" fillId="8" borderId="40" xfId="0" applyNumberFormat="1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/>
    </xf>
    <xf numFmtId="0" fontId="20" fillId="2" borderId="0" xfId="0" applyFont="1" applyFill="1"/>
    <xf numFmtId="0" fontId="8" fillId="2" borderId="0" xfId="0" applyFont="1" applyFill="1"/>
    <xf numFmtId="0" fontId="21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52">
    <dxf>
      <font>
        <b/>
        <i val="0"/>
        <color rgb="FFFFFFFF"/>
      </font>
      <fill>
        <patternFill>
          <bgColor rgb="FFF39C12"/>
        </patternFill>
      </fill>
    </dxf>
    <dxf>
      <font>
        <b/>
        <i val="0"/>
        <color rgb="FFFFFFFF"/>
      </font>
      <fill>
        <patternFill>
          <bgColor rgb="FF27AE60"/>
        </patternFill>
      </fill>
    </dxf>
    <dxf>
      <font>
        <b/>
        <i val="0"/>
        <color rgb="FFFFFFFF"/>
      </font>
      <fill>
        <patternFill>
          <bgColor rgb="FFC0392B"/>
        </patternFill>
      </fill>
    </dxf>
    <dxf>
      <font>
        <b/>
        <i val="0"/>
        <color rgb="FFFFFFFF"/>
      </font>
      <fill>
        <patternFill>
          <bgColor rgb="FF95A5A6"/>
        </patternFill>
      </fill>
    </dxf>
    <dxf>
      <font>
        <b/>
        <i val="0"/>
        <color rgb="FFFFFFFF"/>
      </font>
      <fill>
        <patternFill>
          <bgColor rgb="FF95A5A6"/>
        </patternFill>
      </fill>
    </dxf>
    <dxf>
      <font>
        <b/>
        <i val="0"/>
        <color rgb="FFFFFFFF"/>
      </font>
      <fill>
        <patternFill>
          <bgColor rgb="FF16A085"/>
        </patternFill>
      </fill>
    </dxf>
    <dxf>
      <font>
        <b/>
        <i val="0"/>
        <color rgb="FFFFFFFF"/>
      </font>
      <fill>
        <patternFill>
          <bgColor rgb="FFF39C12"/>
        </patternFill>
      </fill>
    </dxf>
    <dxf>
      <font>
        <b/>
        <i val="0"/>
        <color rgb="FFFFFFFF"/>
      </font>
      <fill>
        <patternFill>
          <bgColor rgb="FF3498DB"/>
        </patternFill>
      </fill>
    </dxf>
    <dxf>
      <font>
        <b/>
        <i val="0"/>
        <color rgb="FFFFFFFF"/>
      </font>
      <fill>
        <patternFill>
          <bgColor rgb="FF27AE60"/>
        </patternFill>
      </fill>
    </dxf>
    <dxf>
      <font>
        <b/>
        <i val="0"/>
        <color rgb="FFFFFFFF"/>
      </font>
      <fill>
        <patternFill>
          <bgColor rgb="FF9B59B6"/>
        </patternFill>
      </fill>
    </dxf>
    <dxf>
      <font>
        <b/>
        <i val="0"/>
        <color rgb="FFFFFFFF"/>
      </font>
      <fill>
        <patternFill>
          <bgColor rgb="FF95A5A6"/>
        </patternFill>
      </fill>
    </dxf>
    <dxf>
      <font>
        <b/>
        <i val="0"/>
        <color rgb="FFFFFFFF"/>
      </font>
      <fill>
        <patternFill>
          <bgColor rgb="FF16A085"/>
        </patternFill>
      </fill>
    </dxf>
    <dxf>
      <font>
        <b/>
        <i val="0"/>
        <color rgb="FFFFFFFF"/>
      </font>
      <fill>
        <patternFill>
          <bgColor rgb="FFF39C12"/>
        </patternFill>
      </fill>
    </dxf>
    <dxf>
      <font>
        <b/>
        <i val="0"/>
        <color rgb="FFFFFFFF"/>
      </font>
      <fill>
        <patternFill>
          <bgColor rgb="FF3498DB"/>
        </patternFill>
      </fill>
    </dxf>
    <dxf>
      <font>
        <b/>
        <i val="0"/>
        <color rgb="FFFFFFFF"/>
      </font>
      <fill>
        <patternFill>
          <bgColor rgb="FF27AE60"/>
        </patternFill>
      </fill>
    </dxf>
    <dxf>
      <font>
        <b/>
        <i val="0"/>
        <color rgb="FFFFFFFF"/>
      </font>
      <fill>
        <patternFill>
          <bgColor rgb="FF9B59B6"/>
        </patternFill>
      </fill>
    </dxf>
    <dxf>
      <font>
        <color rgb="FFFFFFFF"/>
      </font>
      <fill>
        <patternFill>
          <bgColor rgb="FF95A5A6"/>
        </patternFill>
      </fill>
    </dxf>
    <dxf>
      <font>
        <color rgb="FFFFFFFF"/>
      </font>
      <fill>
        <patternFill>
          <bgColor rgb="FF27AE60"/>
        </patternFill>
      </fill>
    </dxf>
    <dxf>
      <alignment horizontal="general" vertical="bottom" textRotation="0" wrapText="1" indent="0" justifyLastLine="0" shrinkToFit="0" readingOrder="0"/>
    </dxf>
    <dxf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rgb="FFF8FAF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minor"/>
      </font>
      <fill>
        <patternFill patternType="solid">
          <fgColor indexed="64"/>
          <bgColor rgb="FF0033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8FAF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003366"/>
        </patternFill>
      </fill>
    </dxf>
    <dxf>
      <border diagonalUp="0" diagonalDown="0" outline="0">
        <left style="thin">
          <color rgb="FFD2D8DE"/>
        </left>
        <right/>
        <top style="thin">
          <color rgb="FFD2D8DE"/>
        </top>
        <bottom style="thin">
          <color rgb="FFD2D8DE"/>
        </bottom>
      </border>
    </dxf>
    <dxf>
      <border diagonalUp="0" diagonalDown="0" outline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border diagonalUp="0" diagonalDown="0" outline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border diagonalUp="0" diagonalDown="0" outline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fill>
        <patternFill patternType="solid">
          <fgColor indexed="64"/>
          <bgColor rgb="FFF5F7FA"/>
        </patternFill>
      </fill>
      <border diagonalUp="0" diagonalDown="0" outline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fill>
        <patternFill patternType="solid">
          <fgColor indexed="64"/>
          <bgColor rgb="FFF5F7FA"/>
        </patternFill>
      </fill>
      <border diagonalUp="0" diagonalDown="0" outline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border diagonalUp="0" diagonalDown="0" outline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numFmt numFmtId="13" formatCode="0%"/>
      <border diagonalUp="0" diagonalDown="0" outline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border diagonalUp="0" diagonalDown="0" outline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border diagonalUp="0" diagonalDown="0" outline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border diagonalUp="0" diagonalDown="0" outline="0">
        <left/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border outline="0">
        <top style="thin">
          <color rgb="FFD2D8DE"/>
        </top>
      </border>
    </dxf>
    <dxf>
      <border diagonalUp="0" diagonalDown="0" outline="0">
        <left style="thin">
          <color rgb="FFD2D8DE"/>
        </left>
        <right style="thin">
          <color rgb="FFD2D8DE"/>
        </right>
        <top style="thin">
          <color rgb="FFD2D8DE"/>
        </top>
        <bottom style="thin">
          <color rgb="FFD2D8DE"/>
        </bottom>
      </border>
    </dxf>
    <dxf>
      <border outline="0">
        <bottom style="thin">
          <color rgb="FFD2D8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minor"/>
      </font>
      <fill>
        <patternFill patternType="solid">
          <fgColor indexed="64"/>
          <bgColor rgb="FF00336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2D8DE"/>
        </left>
        <right style="thin">
          <color rgb="FFD2D8DE"/>
        </right>
        <top/>
        <bottom/>
      </border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Calibri"/>
        <family val="2"/>
        <scheme val="minor"/>
      </font>
      <fill>
        <patternFill patternType="solid">
          <fgColor indexed="64"/>
          <bgColor rgb="FFF8FAF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003366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1AFCCB-08EF-4746-AF76-451DBE51677D}" name="tblBacklog" displayName="tblBacklog" ref="A5:Q19" totalsRowShown="0" headerRowDxfId="51">
  <tableColumns count="17">
    <tableColumn id="1" xr3:uid="{6929F8ED-838C-4BDA-B4AC-F2EAD10420AD}" name="ID" dataDxfId="50"/>
    <tableColumn id="2" xr3:uid="{10781B28-9282-439B-9B6E-7F961DCEAEFD}" name="Area"/>
    <tableColumn id="3" xr3:uid="{1D2A4F09-6005-4C87-A424-5E151B1FB2F4}" name="Procedimiento"/>
    <tableColumn id="4" xr3:uid="{6964D577-01C4-4C72-A355-17AC0D73E7FB}" name="Modulo SGUEES"/>
    <tableColumn id="5" xr3:uid="{BDE134BE-687C-4CB2-BEC5-D8ED06EAFC54}" name="Fase"/>
    <tableColumn id="6" xr3:uid="{9FA7E248-E6ED-4486-B634-064D74BC1DEF}" name="Prioridad"/>
    <tableColumn id="7" xr3:uid="{DF7963D8-3EB1-4992-A19B-2EE6B169D415}" name="Estado"/>
    <tableColumn id="8" xr3:uid="{11077AEC-5F8B-4517-9074-7EF547465EA7}" name="Identificacion" dataDxfId="49"/>
    <tableColumn id="9" xr3:uid="{481B9118-B386-45E0-A6FC-E4A4F34B4124}" name="AnalisisDRF" dataDxfId="48"/>
    <tableColumn id="10" xr3:uid="{B72D121C-9685-42AE-BDF2-0829500F1F47}" name="Diseno" dataDxfId="47"/>
    <tableColumn id="11" xr3:uid="{33B5CCCC-6CD5-4F7A-A087-72A45D203352}" name="Desarrollo" dataDxfId="46">
      <calculatedColumnFormula>IF(G6="Por hacer",0,IF(COUNTIFS(tblDRF[BacklogID],A6,tblDRF[TipoReq],"RF")=0,Q6,IFERROR(AVERAGEIFS(tblDRF[AvanceRF],tblDRF[BacklogID],A6,tblDRF[TipoReq],"RF"),Q6)))</calculatedColumnFormula>
    </tableColumn>
    <tableColumn id="12" xr3:uid="{4FDCF237-50C4-4991-A1F8-AF279DB7B3D0}" name="Pruebas" dataDxfId="45"/>
    <tableColumn id="13" xr3:uid="{971FD320-4D96-4724-9F48-7D2DCE30224A}" name="Implementacion" dataDxfId="44"/>
    <tableColumn id="14" xr3:uid="{5448D5F0-4107-44E2-AD8D-742D202E4B81}" name="Avance" dataDxfId="43">
      <calculatedColumnFormula>IF(G6="Por hacer",0,K6)</calculatedColumnFormula>
    </tableColumn>
    <tableColumn id="15" xr3:uid="{130E899D-4481-499E-9631-B878FD9D84C7}" name="Evidencia en sistema" dataDxfId="42"/>
    <tableColumn id="16" xr3:uid="{F9F3457C-3E15-40A6-914C-0EBADE23BC45}" name="Notas"/>
    <tableColumn id="17" xr3:uid="{D1C24E15-5FE8-43AB-A728-D3E01BC956FD}" name="DevManual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E783AD-B83D-4745-907D-5DDA6A7ADCA5}" name="tblCiclo" displayName="tblCiclo" ref="A6:L13" totalsRowShown="0" headerRowDxfId="40" headerRowBorderDxfId="39" tableBorderDxfId="38" totalsRowBorderDxfId="37">
  <autoFilter ref="A6:L13" xr:uid="{8119ED9B-E0F2-4A0F-BC12-E0296906A085}"/>
  <tableColumns count="12">
    <tableColumn id="1" xr3:uid="{2692C520-FF19-4095-958E-3F69A58A96CF}" name="ID" dataDxfId="36"/>
    <tableColumn id="2" xr3:uid="{AFA5DA93-B358-41B7-93AB-255C71A9650A}" name="Fase del ciclo" dataDxfId="35"/>
    <tableColumn id="3" xr3:uid="{A64C5B8D-27D6-447D-BE47-DA1185321C31}" name="Que incluye" dataDxfId="34"/>
    <tableColumn id="4" xr3:uid="{E16F3AA4-DB8D-4841-A7CA-1E62206B3831}" name="Periodo" dataDxfId="33"/>
    <tableColumn id="5" xr3:uid="{A3647F37-F25D-4517-ADD5-EA83FBD570F9}" name="AvanceT2" dataDxfId="32"/>
    <tableColumn id="6" xr3:uid="{1D098E62-B305-44EA-98EB-DDA76257FFC0}" name="Estado" dataDxfId="31"/>
    <tableColumn id="7" xr3:uid="{47BFEF99-321C-486C-9373-BCBD8F7CFD2C}" name="2026 H1" dataDxfId="30"/>
    <tableColumn id="8" xr3:uid="{5302E243-A826-442C-8818-FEBEFD3EB4E9}" name="2026 H2" dataDxfId="29"/>
    <tableColumn id="9" xr3:uid="{3E5FE107-A659-4D06-BC07-43906C692EAA}" name="2027 H1" dataDxfId="28"/>
    <tableColumn id="10" xr3:uid="{1AF8E854-2EE3-407D-9B18-352BA27857A6}" name="2027 H2" dataDxfId="27"/>
    <tableColumn id="11" xr3:uid="{9DF45E39-AAF0-4EAB-AB21-A51E8B68091E}" name="2028 H1" dataDxfId="26"/>
    <tableColumn id="12" xr3:uid="{1D5BB5C4-EB12-49BC-847C-8B470C0E17C6}" name="2028 H2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FC376-95FE-4C27-81E5-00E5EAB76D86}" name="tblOpciones" displayName="tblOpciones" ref="A6:F114" totalsRowShown="0" headerRowDxfId="24">
  <tableColumns count="6">
    <tableColumn id="1" xr3:uid="{BC65B9D6-3851-47FA-A5BC-88B11AA887DC}" name="Modulo" dataDxfId="23"/>
    <tableColumn id="2" xr3:uid="{A6BE227C-ECE5-4335-8F3B-A31332595E6D}" name="Ruta"/>
    <tableColumn id="3" xr3:uid="{48BB99FC-B47A-4C01-9F84-052571824F8F}" name="Titulo"/>
    <tableColumn id="4" xr3:uid="{2D90A51E-59C1-42BB-B49D-C4213F060358}" name="Tipo"/>
    <tableColumn id="5" xr3:uid="{4B543A7A-7A75-4D98-9379-722CAB989D57}" name="EstadoSistema"/>
    <tableColumn id="6" xr3:uid="{899AE616-8748-4DE3-8313-1EB5B485808B}" name="Backlog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B7DF1D-0DD7-4A21-9A5B-00BF5EC19E85}" name="tblDRF" displayName="tblDRF" ref="A6:L41" totalsRowShown="0" headerRowDxfId="22">
  <autoFilter ref="A6:L41" xr:uid="{618C2166-3363-4FB8-BD86-B8801FD50F2E}">
    <filterColumn colId="2">
      <filters>
        <filter val="Seleccion y contratacion"/>
      </filters>
    </filterColumn>
  </autoFilter>
  <tableColumns count="12">
    <tableColumn id="1" xr3:uid="{665B3938-C8D4-4145-91CF-343A6F6EE5BA}" name="BacklogID" dataDxfId="21"/>
    <tableColumn id="2" xr3:uid="{37C1842D-58A1-44D4-A77B-F4FDE2989ACD}" name="Area"/>
    <tableColumn id="3" xr3:uid="{EE4F774A-5F49-4029-BA3D-584AA7EF7001}" name="Procedimiento"/>
    <tableColumn id="4" xr3:uid="{20F9485B-CB2C-4DBD-A3CC-0FA0246ECD6C}" name="CodigoRF"/>
    <tableColumn id="5" xr3:uid="{3D2294E5-4965-4E4B-9063-94C643ADF024}" name="TipoReq"/>
    <tableColumn id="6" xr3:uid="{46B1C6A0-1B2B-4CF0-AFA6-955402216BB9}" name="Requerimiento" dataDxfId="20"/>
    <tableColumn id="7" xr3:uid="{A7B07BCC-3650-4E2E-B561-167D227275E1}" name="Fuente"/>
    <tableColumn id="8" xr3:uid="{002FB13A-4816-466F-BA85-56A909B5C402}" name="Estado"/>
    <tableColumn id="9" xr3:uid="{05AD3AD5-4739-4572-949A-B1D86A53F7FD}" name="AvanceRF" dataDxfId="19">
      <calculatedColumnFormula>IF(H7="Construido",1,IF(H7="Parcial",0.5,IF(H7="No iniciado",0,"")))</calculatedColumnFormula>
    </tableColumn>
    <tableColumn id="10" xr3:uid="{6D61CF51-F0E5-4C35-B985-166045DBED7C}" name="OpcionSGUEES"/>
    <tableColumn id="11" xr3:uid="{B3CD6432-ED78-4185-A679-DC5BAF60588D}" name="Evidencia" dataDxfId="18"/>
    <tableColumn id="12" xr3:uid="{8C3DDC22-E044-498A-AB68-EEF34F4FA8BD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7A76-0D0F-48ED-B074-31571B416CEA}">
  <sheetPr>
    <tabColor rgb="FFC9A227"/>
  </sheetPr>
  <dimension ref="A1:S80"/>
  <sheetViews>
    <sheetView showGridLines="0" topLeftCell="A19" zoomScaleNormal="100" workbookViewId="0">
      <selection activeCell="A32" sqref="A32"/>
    </sheetView>
  </sheetViews>
  <sheetFormatPr baseColWidth="10" defaultRowHeight="14.5" x14ac:dyDescent="0.35"/>
  <cols>
    <col min="1" max="1" width="22.6328125" customWidth="1"/>
    <col min="2" max="2" width="16.6328125" customWidth="1"/>
    <col min="3" max="3" width="14.6328125" customWidth="1"/>
    <col min="4" max="4" width="16.6328125" customWidth="1"/>
    <col min="5" max="16" width="12.6328125" customWidth="1"/>
    <col min="18" max="19" width="0" hidden="1" customWidth="1"/>
  </cols>
  <sheetData>
    <row r="1" spans="1:16" ht="32" customHeight="1" x14ac:dyDescent="0.35">
      <c r="A1" s="98" t="s">
        <v>519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1:16" ht="18" customHeight="1" x14ac:dyDescent="0.35">
      <c r="A2" s="99" t="s">
        <v>559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</row>
    <row r="3" spans="1:16" ht="16" customHeight="1" x14ac:dyDescent="0.35">
      <c r="A3" s="100" t="s">
        <v>560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</row>
    <row r="4" spans="1:16" ht="6" customHeight="1" x14ac:dyDescent="0.3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5" spans="1:16" ht="15" thickBot="1" x14ac:dyDescent="0.4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</row>
    <row r="6" spans="1:16" ht="15" thickBot="1" x14ac:dyDescent="0.4">
      <c r="A6" s="101" t="s">
        <v>531</v>
      </c>
      <c r="B6" s="102"/>
      <c r="C6" s="103"/>
      <c r="D6" s="116" t="s">
        <v>532</v>
      </c>
      <c r="E6" s="117"/>
      <c r="F6" s="118"/>
      <c r="G6" s="131" t="s">
        <v>534</v>
      </c>
      <c r="H6" s="132"/>
      <c r="I6" s="133"/>
      <c r="J6" s="146" t="s">
        <v>536</v>
      </c>
      <c r="K6" s="147"/>
      <c r="L6" s="148"/>
      <c r="M6" s="83" t="s">
        <v>538</v>
      </c>
      <c r="N6" s="84"/>
      <c r="O6" s="84"/>
      <c r="P6" s="85"/>
    </row>
    <row r="7" spans="1:16" x14ac:dyDescent="0.35">
      <c r="A7" s="104">
        <f>B70</f>
        <v>0.17</v>
      </c>
      <c r="B7" s="105"/>
      <c r="C7" s="106"/>
      <c r="D7" s="119">
        <f>B71</f>
        <v>0.48</v>
      </c>
      <c r="E7" s="120"/>
      <c r="F7" s="121"/>
      <c r="G7" s="134">
        <f>B72</f>
        <v>0.85</v>
      </c>
      <c r="H7" s="135"/>
      <c r="I7" s="136"/>
      <c r="J7" s="149">
        <f>B73</f>
        <v>0.08</v>
      </c>
      <c r="K7" s="150"/>
      <c r="L7" s="151"/>
      <c r="M7" s="86">
        <f>IFERROR(INDEX(tblCiclo[AvanceT2],1),0)</f>
        <v>0.89500000000000002</v>
      </c>
      <c r="N7" s="87"/>
      <c r="O7" s="87"/>
      <c r="P7" s="88"/>
    </row>
    <row r="8" spans="1:16" ht="15" thickBot="1" x14ac:dyDescent="0.4">
      <c r="A8" s="107"/>
      <c r="B8" s="108"/>
      <c r="C8" s="109"/>
      <c r="D8" s="122"/>
      <c r="E8" s="123"/>
      <c r="F8" s="124"/>
      <c r="G8" s="137"/>
      <c r="H8" s="138"/>
      <c r="I8" s="139"/>
      <c r="J8" s="152"/>
      <c r="K8" s="153"/>
      <c r="L8" s="154"/>
      <c r="M8" s="89"/>
      <c r="N8" s="90"/>
      <c r="O8" s="90"/>
      <c r="P8" s="91"/>
    </row>
    <row r="9" spans="1:16" x14ac:dyDescent="0.35">
      <c r="A9" s="110" t="s">
        <v>561</v>
      </c>
      <c r="B9" s="111"/>
      <c r="C9" s="112"/>
      <c r="D9" s="125" t="s">
        <v>533</v>
      </c>
      <c r="E9" s="126"/>
      <c r="F9" s="127"/>
      <c r="G9" s="140" t="s">
        <v>535</v>
      </c>
      <c r="H9" s="141"/>
      <c r="I9" s="142"/>
      <c r="J9" s="155" t="s">
        <v>537</v>
      </c>
      <c r="K9" s="156"/>
      <c r="L9" s="157"/>
      <c r="M9" s="92" t="s">
        <v>539</v>
      </c>
      <c r="N9" s="93"/>
      <c r="O9" s="93"/>
      <c r="P9" s="94"/>
    </row>
    <row r="10" spans="1:16" ht="15" thickBot="1" x14ac:dyDescent="0.4">
      <c r="A10" s="113"/>
      <c r="B10" s="114"/>
      <c r="C10" s="115"/>
      <c r="D10" s="128"/>
      <c r="E10" s="129"/>
      <c r="F10" s="130"/>
      <c r="G10" s="143"/>
      <c r="H10" s="144"/>
      <c r="I10" s="145"/>
      <c r="J10" s="158"/>
      <c r="K10" s="159"/>
      <c r="L10" s="160"/>
      <c r="M10" s="95"/>
      <c r="N10" s="96"/>
      <c r="O10" s="96"/>
      <c r="P10" s="97"/>
    </row>
    <row r="11" spans="1:16" x14ac:dyDescent="0.3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</row>
    <row r="12" spans="1:16" ht="18.5" x14ac:dyDescent="0.45">
      <c r="A12" s="61" t="s">
        <v>540</v>
      </c>
      <c r="B12" s="59"/>
      <c r="C12" s="59"/>
      <c r="D12" s="59"/>
      <c r="E12" s="59"/>
      <c r="F12" s="59"/>
      <c r="G12" s="59"/>
      <c r="H12" s="59"/>
      <c r="I12" s="59"/>
      <c r="J12" s="61" t="s">
        <v>544</v>
      </c>
      <c r="K12" s="59"/>
      <c r="L12" s="59"/>
      <c r="M12" s="59"/>
      <c r="N12" s="59"/>
      <c r="O12" s="59"/>
      <c r="P12" s="59"/>
    </row>
    <row r="13" spans="1:16" x14ac:dyDescent="0.35">
      <c r="A13" s="161" t="s">
        <v>541</v>
      </c>
      <c r="B13" s="162"/>
      <c r="C13" s="162"/>
      <c r="D13" s="165" t="s">
        <v>542</v>
      </c>
      <c r="E13" s="166"/>
      <c r="F13" s="166"/>
      <c r="G13" s="168" t="s">
        <v>543</v>
      </c>
      <c r="H13" s="169"/>
      <c r="I13" s="169"/>
      <c r="J13" s="63" t="s">
        <v>28</v>
      </c>
      <c r="K13" s="65" t="s">
        <v>26</v>
      </c>
      <c r="L13" s="67" t="s">
        <v>30</v>
      </c>
      <c r="M13" s="69" t="s">
        <v>32</v>
      </c>
      <c r="N13" s="71" t="s">
        <v>34</v>
      </c>
      <c r="O13" s="59"/>
      <c r="P13" s="59"/>
    </row>
    <row r="14" spans="1:16" ht="21" x14ac:dyDescent="0.5">
      <c r="A14" s="163">
        <f>B74</f>
        <v>0.25</v>
      </c>
      <c r="B14" s="164"/>
      <c r="C14" s="164"/>
      <c r="D14" s="167">
        <f>B75</f>
        <v>0.30249999999999999</v>
      </c>
      <c r="E14" s="164"/>
      <c r="F14" s="164"/>
      <c r="G14" s="170">
        <f>B76</f>
        <v>3.5000000000000003E-2</v>
      </c>
      <c r="H14" s="164"/>
      <c r="I14" s="164"/>
      <c r="J14" s="64">
        <f>COUNTIF(tblBacklog[Estado],"En desarrollo")</f>
        <v>6</v>
      </c>
      <c r="K14" s="66">
        <f>COUNTIF(tblBacklog[Estado],"En integracion")</f>
        <v>1</v>
      </c>
      <c r="L14" s="68">
        <f>COUNTIF(tblBacklog[Estado],"En analisis")</f>
        <v>4</v>
      </c>
      <c r="M14" s="70">
        <f>COUNTIF(tblBacklog[Estado],"Definicion")</f>
        <v>0</v>
      </c>
      <c r="N14" s="72">
        <f>COUNTIF(tblBacklog[Estado],"Por hacer")</f>
        <v>3</v>
      </c>
      <c r="O14" s="59"/>
      <c r="P14" s="59"/>
    </row>
    <row r="15" spans="1:16" x14ac:dyDescent="0.35">
      <c r="A15" s="164"/>
      <c r="B15" s="164"/>
      <c r="C15" s="164"/>
      <c r="D15" s="164"/>
      <c r="E15" s="164"/>
      <c r="F15" s="164"/>
      <c r="G15" s="164"/>
      <c r="H15" s="164"/>
      <c r="I15" s="164"/>
      <c r="J15" s="59"/>
      <c r="K15" s="59"/>
      <c r="L15" s="59"/>
      <c r="M15" s="59"/>
      <c r="N15" s="59"/>
      <c r="O15" s="59"/>
      <c r="P15" s="59"/>
    </row>
    <row r="16" spans="1:16" x14ac:dyDescent="0.35">
      <c r="A16" s="62" t="s">
        <v>562</v>
      </c>
      <c r="B16" s="59"/>
      <c r="C16" s="59"/>
      <c r="D16" s="62" t="s">
        <v>563</v>
      </c>
      <c r="E16" s="59"/>
      <c r="F16" s="59"/>
      <c r="G16" s="62" t="s">
        <v>564</v>
      </c>
      <c r="H16" s="59"/>
      <c r="I16" s="59"/>
      <c r="J16" s="59"/>
      <c r="K16" s="59"/>
      <c r="L16" s="59"/>
      <c r="M16" s="59"/>
      <c r="N16" s="59"/>
      <c r="O16" s="59"/>
      <c r="P16" s="59"/>
    </row>
    <row r="17" spans="1:19" x14ac:dyDescent="0.3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9" ht="19" thickBot="1" x14ac:dyDescent="0.5">
      <c r="A18" s="61" t="s">
        <v>545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R18" t="s">
        <v>558</v>
      </c>
      <c r="S18" t="s">
        <v>410</v>
      </c>
    </row>
    <row r="19" spans="1:19" ht="15" thickBot="1" x14ac:dyDescent="0.4">
      <c r="A19" s="186" t="s">
        <v>546</v>
      </c>
      <c r="B19" s="132"/>
      <c r="C19" s="133"/>
      <c r="D19" s="189" t="s">
        <v>548</v>
      </c>
      <c r="E19" s="147"/>
      <c r="F19" s="148"/>
      <c r="G19" s="172" t="s">
        <v>550</v>
      </c>
      <c r="H19" s="173"/>
      <c r="I19" s="174"/>
      <c r="J19" s="182" t="s">
        <v>551</v>
      </c>
      <c r="K19" s="84"/>
      <c r="L19" s="85"/>
      <c r="M19" s="59"/>
      <c r="N19" s="59"/>
      <c r="O19" s="59"/>
      <c r="P19" s="59"/>
      <c r="R19" t="s">
        <v>304</v>
      </c>
      <c r="S19" s="14">
        <f>B74</f>
        <v>0.25</v>
      </c>
    </row>
    <row r="20" spans="1:19" x14ac:dyDescent="0.35">
      <c r="A20" s="187">
        <f>B77</f>
        <v>0.39285714285714285</v>
      </c>
      <c r="B20" s="135"/>
      <c r="C20" s="136"/>
      <c r="D20" s="190" t="str">
        <f>B78</f>
        <v>Sin DRF</v>
      </c>
      <c r="E20" s="150"/>
      <c r="F20" s="151"/>
      <c r="G20" s="175" t="str">
        <f>B79</f>
        <v>Sin DRF</v>
      </c>
      <c r="H20" s="176"/>
      <c r="I20" s="177"/>
      <c r="J20" s="183">
        <f>B80</f>
        <v>108</v>
      </c>
      <c r="K20" s="87"/>
      <c r="L20" s="88"/>
      <c r="M20" s="59"/>
      <c r="N20" s="59"/>
      <c r="O20" s="59"/>
      <c r="P20" s="59"/>
      <c r="R20" t="s">
        <v>380</v>
      </c>
      <c r="S20" s="14">
        <f>B75</f>
        <v>0.30249999999999999</v>
      </c>
    </row>
    <row r="21" spans="1:19" ht="15" thickBot="1" x14ac:dyDescent="0.4">
      <c r="A21" s="137"/>
      <c r="B21" s="138"/>
      <c r="C21" s="139"/>
      <c r="D21" s="152"/>
      <c r="E21" s="153"/>
      <c r="F21" s="154"/>
      <c r="G21" s="178"/>
      <c r="H21" s="179"/>
      <c r="I21" s="180"/>
      <c r="J21" s="184"/>
      <c r="K21" s="90"/>
      <c r="L21" s="91"/>
      <c r="M21" s="59"/>
      <c r="N21" s="59"/>
      <c r="O21" s="59"/>
      <c r="P21" s="59"/>
      <c r="R21" t="s">
        <v>386</v>
      </c>
      <c r="S21" s="14">
        <f>B76</f>
        <v>3.5000000000000003E-2</v>
      </c>
    </row>
    <row r="22" spans="1:19" ht="15" thickBot="1" x14ac:dyDescent="0.4">
      <c r="A22" s="188" t="s">
        <v>547</v>
      </c>
      <c r="B22" s="132"/>
      <c r="C22" s="133"/>
      <c r="D22" s="191" t="s">
        <v>549</v>
      </c>
      <c r="E22" s="147"/>
      <c r="F22" s="148"/>
      <c r="G22" s="181" t="s">
        <v>549</v>
      </c>
      <c r="H22" s="173"/>
      <c r="I22" s="174"/>
      <c r="J22" s="185" t="s">
        <v>552</v>
      </c>
      <c r="K22" s="84"/>
      <c r="L22" s="85"/>
      <c r="M22" s="59"/>
      <c r="N22" s="59"/>
      <c r="O22" s="59"/>
      <c r="P22" s="59"/>
    </row>
    <row r="23" spans="1:19" x14ac:dyDescent="0.3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</row>
    <row r="24" spans="1:19" ht="15.5" x14ac:dyDescent="0.35">
      <c r="A24" s="73" t="s">
        <v>553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</row>
    <row r="25" spans="1:19" x14ac:dyDescent="0.35">
      <c r="A25" s="74" t="s">
        <v>99</v>
      </c>
      <c r="B25" s="74" t="s">
        <v>138</v>
      </c>
      <c r="C25" s="74" t="s">
        <v>146</v>
      </c>
      <c r="D25" s="74" t="s">
        <v>209</v>
      </c>
      <c r="E25" s="74" t="s">
        <v>54</v>
      </c>
      <c r="F25" s="74" t="s">
        <v>272</v>
      </c>
      <c r="G25" s="74" t="s">
        <v>252</v>
      </c>
      <c r="H25" s="76" t="s">
        <v>554</v>
      </c>
      <c r="I25" s="59"/>
      <c r="J25" s="59"/>
      <c r="K25" s="59"/>
      <c r="L25" s="59"/>
      <c r="M25" s="59"/>
      <c r="N25" s="59"/>
      <c r="O25" s="59"/>
      <c r="P25" s="59"/>
    </row>
    <row r="26" spans="1:19" ht="18.5" x14ac:dyDescent="0.45">
      <c r="A26" s="75">
        <f>COUNTIF(tblOpciones[Modulo],"Seleccion")</f>
        <v>18</v>
      </c>
      <c r="B26" s="75">
        <f>COUNTIF(tblOpciones[Modulo],"Planilla")</f>
        <v>3</v>
      </c>
      <c r="C26" s="75">
        <f>COUNTIF(tblOpciones[Modulo],"Contabilidad")</f>
        <v>30</v>
      </c>
      <c r="D26" s="75">
        <f>COUNTIF(tblOpciones[Modulo],"Bancos")</f>
        <v>20</v>
      </c>
      <c r="E26" s="75">
        <f>COUNTIF(tblOpciones[Modulo],"Compras")</f>
        <v>19</v>
      </c>
      <c r="F26" s="75">
        <f>COUNTIF(tblOpciones[Modulo],"General")</f>
        <v>10</v>
      </c>
      <c r="G26" s="75">
        <f>COUNTIF(tblOpciones[Modulo],"Seguridad")</f>
        <v>8</v>
      </c>
      <c r="H26" s="59"/>
      <c r="I26" s="59"/>
      <c r="J26" s="59"/>
      <c r="K26" s="59"/>
      <c r="L26" s="59"/>
      <c r="M26" s="59"/>
      <c r="N26" s="59"/>
      <c r="O26" s="59"/>
      <c r="P26" s="59"/>
    </row>
    <row r="27" spans="1:19" x14ac:dyDescent="0.3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</row>
    <row r="28" spans="1:19" ht="15.5" x14ac:dyDescent="0.35">
      <c r="A28" s="73" t="s">
        <v>565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</row>
    <row r="29" spans="1:19" x14ac:dyDescent="0.35">
      <c r="A29" s="74" t="s">
        <v>404</v>
      </c>
      <c r="B29" s="74" t="s">
        <v>555</v>
      </c>
      <c r="C29" s="74" t="s">
        <v>406</v>
      </c>
      <c r="D29" s="74" t="s">
        <v>407</v>
      </c>
      <c r="E29" s="74" t="s">
        <v>408</v>
      </c>
      <c r="F29" s="74" t="s">
        <v>409</v>
      </c>
      <c r="G29" s="74" t="s">
        <v>556</v>
      </c>
      <c r="H29" s="59"/>
      <c r="I29" s="59"/>
      <c r="J29" s="59"/>
      <c r="K29" s="59"/>
      <c r="L29" s="59"/>
      <c r="M29" s="59"/>
      <c r="N29" s="59"/>
      <c r="O29" s="59"/>
      <c r="P29" s="59"/>
    </row>
    <row r="30" spans="1:19" ht="18.5" x14ac:dyDescent="0.45">
      <c r="A30" s="77">
        <f>IFERROR(INDEX(tblCiclo[AvanceT2],1),0)</f>
        <v>0.89500000000000002</v>
      </c>
      <c r="B30" s="77">
        <f>IFERROR(INDEX(tblCiclo[AvanceT2],2),0)</f>
        <v>0.08</v>
      </c>
      <c r="C30" s="77">
        <f>IFERROR(INDEX(tblCiclo[AvanceT2],3),0)</f>
        <v>0.85</v>
      </c>
      <c r="D30" s="77">
        <f>IFERROR(INDEX(tblCiclo[AvanceT2],4),0)</f>
        <v>0.08</v>
      </c>
      <c r="E30" s="77">
        <f>IFERROR(INDEX(tblCiclo[AvanceT2],5),0)</f>
        <v>0</v>
      </c>
      <c r="F30" s="77">
        <f>IFERROR(INDEX(tblCiclo[AvanceT2],6),0)</f>
        <v>0</v>
      </c>
      <c r="G30" s="77">
        <f>IFERROR(INDEX(tblCiclo[AvanceT2],7),0)</f>
        <v>0</v>
      </c>
      <c r="H30" s="59"/>
      <c r="I30" s="59"/>
      <c r="J30" s="59"/>
      <c r="K30" s="59"/>
      <c r="L30" s="59"/>
      <c r="M30" s="59"/>
      <c r="N30" s="59"/>
      <c r="O30" s="59"/>
      <c r="P30" s="59"/>
    </row>
    <row r="31" spans="1:19" x14ac:dyDescent="0.3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9" ht="18.5" x14ac:dyDescent="0.45">
      <c r="A32" s="61" t="s">
        <v>581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</row>
    <row r="33" spans="1:16" x14ac:dyDescent="0.35">
      <c r="A33" s="52" t="s">
        <v>294</v>
      </c>
      <c r="B33" s="52" t="s">
        <v>293</v>
      </c>
      <c r="C33" s="52" t="s">
        <v>299</v>
      </c>
      <c r="D33" s="52" t="s">
        <v>410</v>
      </c>
      <c r="E33" s="52" t="s">
        <v>557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16" ht="18" customHeight="1" x14ac:dyDescent="0.35">
      <c r="A34" s="78" t="str">
        <f>INDEX(tblBacklog[Procedimiento],1)</f>
        <v>Seleccion y contratacion</v>
      </c>
      <c r="B34" s="78" t="str">
        <f>INDEX(tblBacklog[Area],1)</f>
        <v>Talento Humano</v>
      </c>
      <c r="C34" s="78" t="str">
        <f>INDEX(tblBacklog[Estado],1)</f>
        <v>En desarrollo</v>
      </c>
      <c r="D34" s="79">
        <f>INDEX(tblBacklog[Avance],1)</f>
        <v>0.25</v>
      </c>
      <c r="E34" s="78" t="str">
        <f>IF(COUNTIFS(tblDRF[BacklogID],"TH-01",tblDRF[TipoReq],"RF")&gt;0,"Cargado","Pendiente")</f>
        <v>Cargado</v>
      </c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</row>
    <row r="35" spans="1:16" ht="18" customHeight="1" x14ac:dyDescent="0.35">
      <c r="A35" s="78" t="str">
        <f>INDEX(tblBacklog[Procedimiento],2)</f>
        <v>Descriptor de puesto</v>
      </c>
      <c r="B35" s="78" t="str">
        <f>INDEX(tblBacklog[Area],2)</f>
        <v>Talento Humano</v>
      </c>
      <c r="C35" s="78" t="str">
        <f>INDEX(tblBacklog[Estado],2)</f>
        <v>En desarrollo</v>
      </c>
      <c r="D35" s="79">
        <f>INDEX(tblBacklog[Avance],2)</f>
        <v>0.7</v>
      </c>
      <c r="E35" s="78" t="str">
        <f>IF(COUNTIFS(tblDRF[BacklogID],"TH-02",tblDRF[TipoReq],"RF")&gt;0,"Cargado","Pendiente")</f>
        <v>Cargado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16" ht="18" customHeight="1" x14ac:dyDescent="0.35">
      <c r="A36" s="78" t="str">
        <f>INDEX(tblBacklog[Procedimiento],3)</f>
        <v>Expediente de empleado</v>
      </c>
      <c r="B36" s="78" t="str">
        <f>INDEX(tblBacklog[Area],3)</f>
        <v>Talento Humano</v>
      </c>
      <c r="C36" s="78" t="str">
        <f>INDEX(tblBacklog[Estado],3)</f>
        <v>En analisis</v>
      </c>
      <c r="D36" s="79">
        <f>INDEX(tblBacklog[Avance],3)</f>
        <v>0.02</v>
      </c>
      <c r="E36" s="78" t="str">
        <f>IF(COUNTIFS(tblDRF[BacklogID],"TH-03",tblDRF[TipoReq],"RF")&gt;0,"Cargado","Pendiente")</f>
        <v>Pendiente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  <row r="37" spans="1:16" ht="18" customHeight="1" x14ac:dyDescent="0.35">
      <c r="A37" s="78" t="str">
        <f>INDEX(tblBacklog[Procedimiento],4)</f>
        <v>Planilla (nucleo)</v>
      </c>
      <c r="B37" s="78" t="str">
        <f>INDEX(tblBacklog[Area],4)</f>
        <v>Talento Humano</v>
      </c>
      <c r="C37" s="78" t="str">
        <f>INDEX(tblBacklog[Estado],4)</f>
        <v>En desarrollo</v>
      </c>
      <c r="D37" s="79">
        <f>INDEX(tblBacklog[Avance],4)</f>
        <v>0.03</v>
      </c>
      <c r="E37" s="78" t="str">
        <f>IF(COUNTIFS(tblDRF[BacklogID],"TH-04",tblDRF[TipoReq],"RF")&gt;0,"Cargado","Pendiente")</f>
        <v>Pendiente</v>
      </c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</row>
    <row r="38" spans="1:16" ht="18" customHeight="1" x14ac:dyDescent="0.35">
      <c r="A38" s="78" t="str">
        <f>INDEX(tblBacklog[Procedimiento],5)</f>
        <v>Contabilidad</v>
      </c>
      <c r="B38" s="78" t="str">
        <f>INDEX(tblBacklog[Area],5)</f>
        <v>Contabilidad y Finanzas</v>
      </c>
      <c r="C38" s="78" t="str">
        <f>INDEX(tblBacklog[Estado],5)</f>
        <v>En desarrollo</v>
      </c>
      <c r="D38" s="79">
        <f>INDEX(tblBacklog[Avance],5)</f>
        <v>0.45</v>
      </c>
      <c r="E38" s="78" t="str">
        <f>IF(COUNTIFS(tblDRF[BacklogID],"CF-01",tblDRF[TipoReq],"RF")&gt;0,"Cargado","Pendiente")</f>
        <v>Pendiente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16" ht="18" customHeight="1" x14ac:dyDescent="0.35">
      <c r="A39" s="78" t="str">
        <f>INDEX(tblBacklog[Procedimiento],6)</f>
        <v>Caja y bancos</v>
      </c>
      <c r="B39" s="78" t="str">
        <f>INDEX(tblBacklog[Area],6)</f>
        <v>Contabilidad y Finanzas</v>
      </c>
      <c r="C39" s="78" t="str">
        <f>INDEX(tblBacklog[Estado],6)</f>
        <v>En desarrollo</v>
      </c>
      <c r="D39" s="79">
        <f>INDEX(tblBacklog[Avance],6)</f>
        <v>0.25</v>
      </c>
      <c r="E39" s="78" t="str">
        <f>IF(COUNTIFS(tblDRF[BacklogID],"CF-02",tblDRF[TipoReq],"RF")&gt;0,"Cargado","Pendiente")</f>
        <v>Pendiente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16" ht="18" customHeight="1" x14ac:dyDescent="0.35">
      <c r="A40" s="78" t="str">
        <f>INDEX(tblBacklog[Procedimiento],7)</f>
        <v>Cuentas por pagar / Pagos</v>
      </c>
      <c r="B40" s="78" t="str">
        <f>INDEX(tblBacklog[Area],7)</f>
        <v>Contabilidad y Finanzas</v>
      </c>
      <c r="C40" s="78" t="str">
        <f>INDEX(tblBacklog[Estado],7)</f>
        <v>En desarrollo</v>
      </c>
      <c r="D40" s="79">
        <f>INDEX(tblBacklog[Avance],7)</f>
        <v>0.06</v>
      </c>
      <c r="E40" s="78" t="str">
        <f>IF(COUNTIFS(tblDRF[BacklogID],"CF-03",tblDRF[TipoReq],"RF")&gt;0,"Cargado","Pendiente")</f>
        <v>Pendiente</v>
      </c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</row>
    <row r="41" spans="1:16" ht="18" customHeight="1" x14ac:dyDescent="0.35">
      <c r="A41" s="78" t="str">
        <f>INDEX(tblBacklog[Procedimiento],8)</f>
        <v>Conciliacion bancaria</v>
      </c>
      <c r="B41" s="78" t="str">
        <f>INDEX(tblBacklog[Area],8)</f>
        <v>Contabilidad y Finanzas</v>
      </c>
      <c r="C41" s="78" t="str">
        <f>INDEX(tblBacklog[Estado],8)</f>
        <v>En analisis</v>
      </c>
      <c r="D41" s="79">
        <f>INDEX(tblBacklog[Avance],8)</f>
        <v>0.45</v>
      </c>
      <c r="E41" s="78" t="str">
        <f>IF(COUNTIFS(tblDRF[BacklogID],"CF-04",tblDRF[TipoReq],"RF")&gt;0,"Cargado","Pendiente")</f>
        <v>Pendiente</v>
      </c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</row>
    <row r="42" spans="1:16" ht="18" customHeight="1" x14ac:dyDescent="0.35">
      <c r="A42" s="78" t="str">
        <f>INDEX(tblBacklog[Procedimiento],9)</f>
        <v>Admision</v>
      </c>
      <c r="B42" s="78" t="str">
        <f>INDEX(tblBacklog[Area],9)</f>
        <v>Academico</v>
      </c>
      <c r="C42" s="78" t="str">
        <f>INDEX(tblBacklog[Estado],9)</f>
        <v>En analisis</v>
      </c>
      <c r="D42" s="79">
        <f>INDEX(tblBacklog[Avance],9)</f>
        <v>0.05</v>
      </c>
      <c r="E42" s="78" t="str">
        <f>IF(COUNTIFS(tblDRF[BacklogID],"AC-01",tblDRF[TipoReq],"RF")&gt;0,"Cargado","Pendiente")</f>
        <v>Pendiente</v>
      </c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</row>
    <row r="43" spans="1:16" ht="18" customHeight="1" x14ac:dyDescent="0.35">
      <c r="A43" s="78" t="str">
        <f>INDEX(tblBacklog[Procedimiento],10)</f>
        <v>Nuevo ingreso</v>
      </c>
      <c r="B43" s="78" t="str">
        <f>INDEX(tblBacklog[Area],10)</f>
        <v>Academico</v>
      </c>
      <c r="C43" s="78" t="str">
        <f>INDEX(tblBacklog[Estado],10)</f>
        <v>Por hacer</v>
      </c>
      <c r="D43" s="79">
        <f>INDEX(tblBacklog[Avance],10)</f>
        <v>0</v>
      </c>
      <c r="E43" s="78" t="str">
        <f>IF(COUNTIFS(tblDRF[BacklogID],"AC-02",tblDRF[TipoReq],"RF")&gt;0,"Cargado","Pendiente")</f>
        <v>Pendiente</v>
      </c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</row>
    <row r="44" spans="1:16" ht="18" customHeight="1" x14ac:dyDescent="0.35">
      <c r="A44" s="78" t="str">
        <f>INDEX(tblBacklog[Procedimiento],11)</f>
        <v>Socioeconomico</v>
      </c>
      <c r="B44" s="78" t="str">
        <f>INDEX(tblBacklog[Area],11)</f>
        <v>Academico</v>
      </c>
      <c r="C44" s="78" t="str">
        <f>INDEX(tblBacklog[Estado],11)</f>
        <v>Por hacer</v>
      </c>
      <c r="D44" s="79">
        <f>INDEX(tblBacklog[Avance],11)</f>
        <v>0</v>
      </c>
      <c r="E44" s="78" t="str">
        <f>IF(COUNTIFS(tblDRF[BacklogID],"AC-03",tblDRF[TipoReq],"RF")&gt;0,"Cargado","Pendiente")</f>
        <v>Pendiente</v>
      </c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</row>
    <row r="45" spans="1:16" ht="18" customHeight="1" x14ac:dyDescent="0.35">
      <c r="A45" s="78" t="str">
        <f>INDEX(tblBacklog[Procedimiento],12)</f>
        <v>Matricula</v>
      </c>
      <c r="B45" s="78" t="str">
        <f>INDEX(tblBacklog[Area],12)</f>
        <v>Academico</v>
      </c>
      <c r="C45" s="78" t="str">
        <f>INDEX(tblBacklog[Estado],12)</f>
        <v>Por hacer</v>
      </c>
      <c r="D45" s="79">
        <f>INDEX(tblBacklog[Avance],12)</f>
        <v>0</v>
      </c>
      <c r="E45" s="78" t="str">
        <f>IF(COUNTIFS(tblDRF[BacklogID],"AC-04",tblDRF[TipoReq],"RF")&gt;0,"Cargado","Pendiente")</f>
        <v>Pendiente</v>
      </c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1:16" ht="18" customHeight="1" x14ac:dyDescent="0.35">
      <c r="A46" s="78" t="str">
        <f>INDEX(tblBacklog[Procedimiento],13)</f>
        <v>Solicitud de becas</v>
      </c>
      <c r="B46" s="78" t="str">
        <f>INDEX(tblBacklog[Area],13)</f>
        <v>Academico</v>
      </c>
      <c r="C46" s="78" t="str">
        <f>INDEX(tblBacklog[Estado],13)</f>
        <v>En analisis</v>
      </c>
      <c r="D46" s="79">
        <f>INDEX(tblBacklog[Avance],13)</f>
        <v>0.02</v>
      </c>
      <c r="E46" s="78" t="str">
        <f>IF(COUNTIFS(tblDRF[BacklogID],"AC-05",tblDRF[TipoReq],"RF")&gt;0,"Cargado","Pendiente")</f>
        <v>Pendiente</v>
      </c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</row>
    <row r="47" spans="1:16" ht="18" customHeight="1" x14ac:dyDescent="0.35">
      <c r="A47" s="78" t="str">
        <f>INDEX(tblBacklog[Procedimiento],14)</f>
        <v>Compras (catalogos y documentos visibles)</v>
      </c>
      <c r="B47" s="78" t="str">
        <f>INDEX(tblBacklog[Area],14)</f>
        <v>Plataforma</v>
      </c>
      <c r="C47" s="78" t="str">
        <f>INDEX(tblBacklog[Estado],14)</f>
        <v>En integracion</v>
      </c>
      <c r="D47" s="79">
        <f>INDEX(tblBacklog[Avance],14)</f>
        <v>0.2</v>
      </c>
      <c r="E47" s="78" t="str">
        <f>IF(COUNTIFS(tblDRF[BacklogID],"PL-01",tblDRF[TipoReq],"RF")&gt;0,"Cargado","Pendiente")</f>
        <v>Pendiente</v>
      </c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</row>
    <row r="48" spans="1:16" x14ac:dyDescent="0.3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</row>
    <row r="49" spans="1:16" x14ac:dyDescent="0.35">
      <c r="A49" s="171" t="s">
        <v>566</v>
      </c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</row>
    <row r="50" spans="1:16" x14ac:dyDescent="0.3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</row>
    <row r="51" spans="1:16" x14ac:dyDescent="0.3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</row>
    <row r="52" spans="1:16" x14ac:dyDescent="0.3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</row>
    <row r="53" spans="1:16" x14ac:dyDescent="0.3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</row>
    <row r="54" spans="1:16" x14ac:dyDescent="0.3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</row>
    <row r="55" spans="1:16" x14ac:dyDescent="0.3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</row>
    <row r="70" spans="1:2" hidden="1" x14ac:dyDescent="0.35">
      <c r="A70" s="80" t="s">
        <v>520</v>
      </c>
      <c r="B70" s="81">
        <f>'03 Ciclo de vida'!B4</f>
        <v>0.17</v>
      </c>
    </row>
    <row r="71" spans="1:2" hidden="1" x14ac:dyDescent="0.35">
      <c r="A71" s="80" t="s">
        <v>521</v>
      </c>
      <c r="B71" s="81">
        <f>'03 Ciclo de vida'!E4</f>
        <v>0.48</v>
      </c>
    </row>
    <row r="72" spans="1:2" hidden="1" x14ac:dyDescent="0.35">
      <c r="A72" s="80" t="s">
        <v>522</v>
      </c>
      <c r="B72" s="81">
        <f>IFERROR(INDEX(tblCiclo[AvanceT2],3),0)</f>
        <v>0.85</v>
      </c>
    </row>
    <row r="73" spans="1:2" hidden="1" x14ac:dyDescent="0.35">
      <c r="A73" s="80" t="s">
        <v>523</v>
      </c>
      <c r="B73" s="81">
        <f>IFERROR(INDEX(tblCiclo[AvanceT2],4),0)</f>
        <v>0.08</v>
      </c>
    </row>
    <row r="74" spans="1:2" hidden="1" x14ac:dyDescent="0.35">
      <c r="A74" s="80" t="s">
        <v>524</v>
      </c>
      <c r="B74" s="81">
        <f>IFERROR(AVERAGEIFS(tblBacklog[Avance],tblBacklog[Area],"Talento Humano",tblBacklog[Estado],"&lt;&gt;Por hacer"),0)</f>
        <v>0.25</v>
      </c>
    </row>
    <row r="75" spans="1:2" hidden="1" x14ac:dyDescent="0.35">
      <c r="A75" s="80" t="s">
        <v>525</v>
      </c>
      <c r="B75" s="81">
        <f>IFERROR(AVERAGEIFS(tblBacklog[Avance],tblBacklog[Area],"Contabilidad y Finanzas",tblBacklog[Estado],"&lt;&gt;Por hacer"),0)</f>
        <v>0.30249999999999999</v>
      </c>
    </row>
    <row r="76" spans="1:2" hidden="1" x14ac:dyDescent="0.35">
      <c r="A76" s="80" t="s">
        <v>526</v>
      </c>
      <c r="B76" s="81">
        <f>IFERROR(AVERAGEIFS(tblBacklog[Avance],tblBacklog[Area],"Academico",tblBacklog[Estado],"&lt;&gt;Por hacer"),0)</f>
        <v>3.5000000000000003E-2</v>
      </c>
    </row>
    <row r="77" spans="1:2" hidden="1" x14ac:dyDescent="0.35">
      <c r="A77" s="80" t="s">
        <v>527</v>
      </c>
      <c r="B77" s="80">
        <f>IF(COUNTIFS(tblDRF[Area],"Talento Humano",tblDRF[TipoReq],"RF")=0,"Sin DRF",IFERROR(AVERAGEIFS(tblDRF[AvanceRF],tblDRF[Area],"Talento Humano",tblDRF[TipoReq],"RF"),0))</f>
        <v>0.39285714285714285</v>
      </c>
    </row>
    <row r="78" spans="1:2" hidden="1" x14ac:dyDescent="0.35">
      <c r="A78" s="80" t="s">
        <v>528</v>
      </c>
      <c r="B78" s="80" t="str">
        <f>IF(COUNTIFS(tblDRF[Area],"Contabilidad y Finanzas",tblDRF[TipoReq],"RF")=0,"Sin DRF",IFERROR(AVERAGEIFS(tblDRF[AvanceRF],tblDRF[Area],"Contabilidad y Finanzas",tblDRF[TipoReq],"RF"),0))</f>
        <v>Sin DRF</v>
      </c>
    </row>
    <row r="79" spans="1:2" hidden="1" x14ac:dyDescent="0.35">
      <c r="A79" s="80" t="s">
        <v>529</v>
      </c>
      <c r="B79" s="80" t="str">
        <f>IF(COUNTIFS(tblDRF[Area],"Academico",tblDRF[TipoReq],"RF")=0,"Sin DRF",IFERROR(AVERAGEIFS(tblDRF[AvanceRF],tblDRF[Area],"Academico",tblDRF[TipoReq],"RF"),0))</f>
        <v>Sin DRF</v>
      </c>
    </row>
    <row r="80" spans="1:2" hidden="1" x14ac:dyDescent="0.35">
      <c r="A80" s="80" t="s">
        <v>530</v>
      </c>
      <c r="B80" s="80">
        <f>COUNTA(tblOpciones[Ruta])</f>
        <v>108</v>
      </c>
    </row>
  </sheetData>
  <mergeCells count="37">
    <mergeCell ref="A49:P49"/>
    <mergeCell ref="G19:I19"/>
    <mergeCell ref="G20:I21"/>
    <mergeCell ref="G22:I22"/>
    <mergeCell ref="J19:L19"/>
    <mergeCell ref="J20:L21"/>
    <mergeCell ref="J22:L22"/>
    <mergeCell ref="A19:C19"/>
    <mergeCell ref="A20:C21"/>
    <mergeCell ref="A22:C22"/>
    <mergeCell ref="D19:F19"/>
    <mergeCell ref="D20:F21"/>
    <mergeCell ref="D22:F22"/>
    <mergeCell ref="J7:L8"/>
    <mergeCell ref="J9:L10"/>
    <mergeCell ref="A13:C13"/>
    <mergeCell ref="A14:C15"/>
    <mergeCell ref="D13:F13"/>
    <mergeCell ref="D14:F15"/>
    <mergeCell ref="G13:I13"/>
    <mergeCell ref="G14:I15"/>
    <mergeCell ref="M6:P6"/>
    <mergeCell ref="M7:P8"/>
    <mergeCell ref="M9:P10"/>
    <mergeCell ref="A1:P1"/>
    <mergeCell ref="A2:P2"/>
    <mergeCell ref="A3:P3"/>
    <mergeCell ref="A6:C6"/>
    <mergeCell ref="A7:C8"/>
    <mergeCell ref="A9:C10"/>
    <mergeCell ref="D6:F6"/>
    <mergeCell ref="D7:F8"/>
    <mergeCell ref="D9:F10"/>
    <mergeCell ref="G6:I6"/>
    <mergeCell ref="G7:I8"/>
    <mergeCell ref="G9:I10"/>
    <mergeCell ref="J6:L6"/>
  </mergeCells>
  <conditionalFormatting sqref="E34:E47">
    <cfRule type="cellIs" dxfId="17" priority="1" stopIfTrue="1" operator="equal">
      <formula>"Cargado"</formula>
    </cfRule>
    <cfRule type="cellIs" dxfId="16" priority="2" stopIfTrue="1" operator="equal">
      <formula>"Pendiente"</formula>
    </cfRule>
  </conditionalFormatting>
  <conditionalFormatting sqref="D34:D47">
    <cfRule type="dataBar" priority="3">
      <dataBar>
        <cfvo type="min"/>
        <cfvo type="max"/>
        <color rgb="FFC9A227"/>
      </dataBar>
      <extLst>
        <ext xmlns:x14="http://schemas.microsoft.com/office/spreadsheetml/2009/9/main" uri="{B025F937-C7B1-47D3-B67F-A62EFF666E3E}">
          <x14:id>{7235630B-C735-4137-86C1-E401CE31A5C0}</x14:id>
        </ext>
      </extLst>
    </cfRule>
  </conditionalFormatting>
  <conditionalFormatting sqref="C34:C47">
    <cfRule type="cellIs" dxfId="15" priority="4" stopIfTrue="1" operator="equal">
      <formula>"Definicion"</formula>
    </cfRule>
    <cfRule type="cellIs" dxfId="14" priority="5" stopIfTrue="1" operator="equal">
      <formula>"Hecho"</formula>
    </cfRule>
    <cfRule type="cellIs" dxfId="13" priority="6" stopIfTrue="1" operator="equal">
      <formula>"En analisis"</formula>
    </cfRule>
    <cfRule type="cellIs" dxfId="12" priority="7" stopIfTrue="1" operator="equal">
      <formula>"En desarrollo"</formula>
    </cfRule>
    <cfRule type="cellIs" dxfId="11" priority="8" stopIfTrue="1" operator="equal">
      <formula>"En integracion"</formula>
    </cfRule>
    <cfRule type="cellIs" dxfId="10" priority="9" stopIfTrue="1" operator="equal">
      <formula>"Por hacer"</formula>
    </cfRule>
  </conditionalFormatting>
  <pageMargins left="0.4" right="0.7" top="0.4" bottom="0.75" header="0.3" footer="0.3"/>
  <pageSetup orientation="landscape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35630B-C735-4137-86C1-E401CE31A5C0}">
            <x14:dataBar minLength="0" maxLength="100" negativeBarColorSameAsPositive="1" axisPosition="none">
              <x14:cfvo type="min"/>
              <x14:cfvo type="max"/>
            </x14:dataBar>
          </x14:cfRule>
          <xm:sqref>D34:D47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713B-5B1C-4DB6-BF3D-B196E5F595C7}">
  <sheetPr>
    <tabColor rgb="FFC9A227"/>
  </sheetPr>
  <dimension ref="A1:Q19"/>
  <sheetViews>
    <sheetView topLeftCell="B1" workbookViewId="0">
      <pane ySplit="5" topLeftCell="A6" activePane="bottomLeft" state="frozenSplit"/>
      <selection pane="bottomLeft" activeCell="K6" sqref="K6"/>
    </sheetView>
  </sheetViews>
  <sheetFormatPr baseColWidth="10" defaultRowHeight="14.5" x14ac:dyDescent="0.35"/>
  <cols>
    <col min="1" max="1" width="10.6328125" customWidth="1"/>
    <col min="2" max="2" width="24.6328125" customWidth="1"/>
    <col min="3" max="3" width="52.6328125" customWidth="1"/>
    <col min="4" max="5" width="18.6328125" customWidth="1"/>
    <col min="6" max="6" width="11.6328125" customWidth="1"/>
    <col min="7" max="7" width="18.6328125" customWidth="1"/>
    <col min="8" max="14" width="14.6328125" customWidth="1"/>
    <col min="15" max="15" width="42.6328125" customWidth="1"/>
    <col min="16" max="16" width="38.6328125" customWidth="1"/>
    <col min="17" max="17" width="11.54296875" hidden="1" customWidth="1"/>
  </cols>
  <sheetData>
    <row r="1" spans="1:17" ht="26" x14ac:dyDescent="0.6">
      <c r="A1" s="192" t="s">
        <v>398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</row>
    <row r="2" spans="1:17" x14ac:dyDescent="0.35">
      <c r="A2" s="193" t="s">
        <v>579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</row>
    <row r="3" spans="1:17" x14ac:dyDescent="0.35">
      <c r="A3" s="194" t="s">
        <v>580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</row>
    <row r="4" spans="1:17" ht="14" customHeight="1" x14ac:dyDescent="0.35">
      <c r="A4" s="25" t="s">
        <v>399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22" customHeight="1" x14ac:dyDescent="0.35">
      <c r="A5" s="26" t="s">
        <v>400</v>
      </c>
      <c r="B5" s="26" t="s">
        <v>293</v>
      </c>
      <c r="C5" s="26" t="s">
        <v>294</v>
      </c>
      <c r="D5" s="26" t="s">
        <v>401</v>
      </c>
      <c r="E5" s="26" t="s">
        <v>402</v>
      </c>
      <c r="F5" s="26" t="s">
        <v>403</v>
      </c>
      <c r="G5" s="26" t="s">
        <v>299</v>
      </c>
      <c r="H5" s="26" t="s">
        <v>404</v>
      </c>
      <c r="I5" s="26" t="s">
        <v>405</v>
      </c>
      <c r="J5" s="26" t="s">
        <v>406</v>
      </c>
      <c r="K5" s="26" t="s">
        <v>407</v>
      </c>
      <c r="L5" s="26" t="s">
        <v>408</v>
      </c>
      <c r="M5" s="26" t="s">
        <v>409</v>
      </c>
      <c r="N5" s="26" t="s">
        <v>410</v>
      </c>
      <c r="O5" s="26" t="s">
        <v>411</v>
      </c>
      <c r="P5" s="26" t="s">
        <v>303</v>
      </c>
      <c r="Q5" s="26" t="s">
        <v>412</v>
      </c>
    </row>
    <row r="6" spans="1:17" ht="32" customHeight="1" x14ac:dyDescent="0.35">
      <c r="A6" s="27" t="s">
        <v>102</v>
      </c>
      <c r="B6" t="s">
        <v>304</v>
      </c>
      <c r="C6" t="s">
        <v>305</v>
      </c>
      <c r="D6" t="s">
        <v>413</v>
      </c>
      <c r="E6" t="s">
        <v>414</v>
      </c>
      <c r="F6" t="s">
        <v>2</v>
      </c>
      <c r="G6" t="s">
        <v>28</v>
      </c>
      <c r="H6" s="14">
        <v>1</v>
      </c>
      <c r="I6" s="14">
        <v>0.9</v>
      </c>
      <c r="J6" s="14">
        <v>0.4</v>
      </c>
      <c r="K6" s="14">
        <v>0.25</v>
      </c>
      <c r="L6" s="14">
        <v>0</v>
      </c>
      <c r="M6" s="14">
        <v>0</v>
      </c>
      <c r="N6" s="14">
        <f t="shared" ref="N6" si="0">IF(G6="Por hacer",0,K6)</f>
        <v>0.25</v>
      </c>
      <c r="O6" s="23" t="s">
        <v>415</v>
      </c>
      <c r="P6" t="s">
        <v>416</v>
      </c>
      <c r="Q6" s="14">
        <v>0.15</v>
      </c>
    </row>
    <row r="7" spans="1:17" ht="32" customHeight="1" x14ac:dyDescent="0.35">
      <c r="A7" s="28" t="s">
        <v>115</v>
      </c>
      <c r="B7" t="s">
        <v>304</v>
      </c>
      <c r="C7" t="s">
        <v>417</v>
      </c>
      <c r="D7" t="s">
        <v>413</v>
      </c>
      <c r="E7" t="s">
        <v>414</v>
      </c>
      <c r="F7" t="s">
        <v>2</v>
      </c>
      <c r="G7" t="s">
        <v>28</v>
      </c>
      <c r="H7" s="14">
        <v>1</v>
      </c>
      <c r="I7" s="14">
        <v>0.9</v>
      </c>
      <c r="J7" s="14">
        <v>0.85</v>
      </c>
      <c r="K7" s="14">
        <v>0.7</v>
      </c>
      <c r="L7" s="14">
        <v>0</v>
      </c>
      <c r="M7" s="14">
        <v>0</v>
      </c>
      <c r="N7" s="14">
        <f t="shared" ref="N7:N19" si="1">IF(G7="Por hacer",0,K7)</f>
        <v>0.7</v>
      </c>
      <c r="O7" s="23" t="s">
        <v>577</v>
      </c>
      <c r="P7" t="s">
        <v>578</v>
      </c>
      <c r="Q7" s="14">
        <v>0.12</v>
      </c>
    </row>
    <row r="8" spans="1:17" ht="32" customHeight="1" x14ac:dyDescent="0.35">
      <c r="A8" s="27" t="s">
        <v>373</v>
      </c>
      <c r="B8" t="s">
        <v>304</v>
      </c>
      <c r="C8" t="s">
        <v>374</v>
      </c>
      <c r="D8" t="s">
        <v>419</v>
      </c>
      <c r="E8" t="s">
        <v>414</v>
      </c>
      <c r="F8" t="s">
        <v>2</v>
      </c>
      <c r="G8" t="s">
        <v>30</v>
      </c>
      <c r="H8" s="14">
        <v>1</v>
      </c>
      <c r="I8" s="14">
        <v>0.08</v>
      </c>
      <c r="J8" s="14">
        <v>0.1</v>
      </c>
      <c r="K8" s="14">
        <v>0.02</v>
      </c>
      <c r="L8" s="14">
        <v>0</v>
      </c>
      <c r="M8" s="14">
        <v>0</v>
      </c>
      <c r="N8" s="14">
        <f t="shared" si="1"/>
        <v>0.02</v>
      </c>
      <c r="O8" s="23" t="s">
        <v>420</v>
      </c>
      <c r="P8" t="s">
        <v>421</v>
      </c>
      <c r="Q8" s="14">
        <v>0.02</v>
      </c>
    </row>
    <row r="9" spans="1:17" ht="32" customHeight="1" x14ac:dyDescent="0.35">
      <c r="A9" s="28" t="s">
        <v>141</v>
      </c>
      <c r="B9" t="s">
        <v>304</v>
      </c>
      <c r="C9" t="s">
        <v>379</v>
      </c>
      <c r="D9" t="s">
        <v>422</v>
      </c>
      <c r="E9" t="s">
        <v>414</v>
      </c>
      <c r="F9" t="s">
        <v>2</v>
      </c>
      <c r="G9" t="s">
        <v>28</v>
      </c>
      <c r="H9" s="14">
        <v>1</v>
      </c>
      <c r="I9" s="14">
        <v>0.08</v>
      </c>
      <c r="J9" s="14">
        <v>0.2</v>
      </c>
      <c r="K9" s="14">
        <v>0.03</v>
      </c>
      <c r="L9" s="14">
        <v>0</v>
      </c>
      <c r="M9" s="14">
        <v>0</v>
      </c>
      <c r="N9" s="14">
        <f t="shared" si="1"/>
        <v>0.03</v>
      </c>
      <c r="O9" s="23" t="s">
        <v>423</v>
      </c>
      <c r="P9" t="s">
        <v>424</v>
      </c>
      <c r="Q9" s="14">
        <v>0.03</v>
      </c>
    </row>
    <row r="10" spans="1:17" ht="32" customHeight="1" x14ac:dyDescent="0.35">
      <c r="A10" s="27" t="s">
        <v>149</v>
      </c>
      <c r="B10" t="s">
        <v>380</v>
      </c>
      <c r="C10" t="s">
        <v>146</v>
      </c>
      <c r="D10" t="s">
        <v>425</v>
      </c>
      <c r="E10" t="s">
        <v>414</v>
      </c>
      <c r="F10" t="s">
        <v>2</v>
      </c>
      <c r="G10" t="s">
        <v>28</v>
      </c>
      <c r="H10" s="14">
        <v>1</v>
      </c>
      <c r="I10" s="14">
        <v>0.5</v>
      </c>
      <c r="J10" s="14">
        <v>0.5</v>
      </c>
      <c r="K10" s="14">
        <v>0.45</v>
      </c>
      <c r="L10" s="14">
        <v>0</v>
      </c>
      <c r="M10" s="14">
        <v>0</v>
      </c>
      <c r="N10" s="14">
        <f t="shared" si="1"/>
        <v>0.45</v>
      </c>
      <c r="O10" s="23" t="s">
        <v>426</v>
      </c>
      <c r="P10" t="s">
        <v>427</v>
      </c>
      <c r="Q10" s="14">
        <v>0.09</v>
      </c>
    </row>
    <row r="11" spans="1:17" ht="32" customHeight="1" x14ac:dyDescent="0.35">
      <c r="A11" s="28" t="s">
        <v>212</v>
      </c>
      <c r="B11" t="s">
        <v>380</v>
      </c>
      <c r="C11" t="s">
        <v>381</v>
      </c>
      <c r="D11" t="s">
        <v>428</v>
      </c>
      <c r="E11" t="s">
        <v>414</v>
      </c>
      <c r="F11" t="s">
        <v>2</v>
      </c>
      <c r="G11" t="s">
        <v>28</v>
      </c>
      <c r="H11" s="14">
        <v>1</v>
      </c>
      <c r="I11" s="14">
        <v>0.08</v>
      </c>
      <c r="J11" s="14">
        <v>0.3</v>
      </c>
      <c r="K11" s="14">
        <v>0.25</v>
      </c>
      <c r="L11" s="14">
        <v>0</v>
      </c>
      <c r="M11" s="14">
        <v>0</v>
      </c>
      <c r="N11" s="14">
        <f t="shared" si="1"/>
        <v>0.25</v>
      </c>
      <c r="O11" s="23" t="s">
        <v>429</v>
      </c>
      <c r="P11" t="s">
        <v>430</v>
      </c>
      <c r="Q11" s="14">
        <v>7.0000000000000007E-2</v>
      </c>
    </row>
    <row r="12" spans="1:17" ht="32" customHeight="1" x14ac:dyDescent="0.35">
      <c r="A12" s="27" t="s">
        <v>382</v>
      </c>
      <c r="B12" t="s">
        <v>380</v>
      </c>
      <c r="C12" t="s">
        <v>383</v>
      </c>
      <c r="D12" t="s">
        <v>431</v>
      </c>
      <c r="E12" t="s">
        <v>414</v>
      </c>
      <c r="F12" t="s">
        <v>2</v>
      </c>
      <c r="G12" t="s">
        <v>28</v>
      </c>
      <c r="H12" s="14">
        <v>1</v>
      </c>
      <c r="I12" s="14">
        <v>0.08</v>
      </c>
      <c r="J12" s="14">
        <v>0.25</v>
      </c>
      <c r="K12" s="14">
        <v>0.06</v>
      </c>
      <c r="L12" s="14">
        <v>0</v>
      </c>
      <c r="M12" s="14">
        <v>0</v>
      </c>
      <c r="N12" s="14">
        <f t="shared" si="1"/>
        <v>0.06</v>
      </c>
      <c r="O12" s="23" t="s">
        <v>432</v>
      </c>
      <c r="P12" t="s">
        <v>433</v>
      </c>
      <c r="Q12" s="14">
        <v>0.06</v>
      </c>
    </row>
    <row r="13" spans="1:17" ht="32" customHeight="1" x14ac:dyDescent="0.35">
      <c r="A13" s="28" t="s">
        <v>219</v>
      </c>
      <c r="B13" t="s">
        <v>380</v>
      </c>
      <c r="C13" t="s">
        <v>384</v>
      </c>
      <c r="D13" t="s">
        <v>428</v>
      </c>
      <c r="E13" t="s">
        <v>414</v>
      </c>
      <c r="F13" t="s">
        <v>2</v>
      </c>
      <c r="G13" t="s">
        <v>30</v>
      </c>
      <c r="H13" s="14">
        <v>1</v>
      </c>
      <c r="I13" s="14">
        <v>0.08</v>
      </c>
      <c r="J13" s="14">
        <v>0.2</v>
      </c>
      <c r="K13" s="14">
        <v>0.45</v>
      </c>
      <c r="L13" s="14">
        <v>0</v>
      </c>
      <c r="M13" s="14">
        <v>0</v>
      </c>
      <c r="N13" s="14">
        <f t="shared" si="1"/>
        <v>0.45</v>
      </c>
      <c r="O13" s="23" t="s">
        <v>434</v>
      </c>
      <c r="P13" t="s">
        <v>435</v>
      </c>
      <c r="Q13" s="14">
        <v>0.02</v>
      </c>
    </row>
    <row r="14" spans="1:17" ht="32" customHeight="1" x14ac:dyDescent="0.35">
      <c r="A14" s="27" t="s">
        <v>385</v>
      </c>
      <c r="B14" t="s">
        <v>386</v>
      </c>
      <c r="C14" t="s">
        <v>387</v>
      </c>
      <c r="D14" t="s">
        <v>436</v>
      </c>
      <c r="E14" t="s">
        <v>414</v>
      </c>
      <c r="F14" t="s">
        <v>2</v>
      </c>
      <c r="G14" t="s">
        <v>30</v>
      </c>
      <c r="H14" s="14">
        <v>1</v>
      </c>
      <c r="I14" s="14">
        <v>0.08</v>
      </c>
      <c r="J14" s="14">
        <v>0.1</v>
      </c>
      <c r="K14" s="14">
        <v>0.05</v>
      </c>
      <c r="L14" s="14">
        <v>0</v>
      </c>
      <c r="M14" s="14">
        <v>0</v>
      </c>
      <c r="N14" s="14">
        <f t="shared" si="1"/>
        <v>0.05</v>
      </c>
      <c r="O14" s="23" t="s">
        <v>437</v>
      </c>
      <c r="P14" t="s">
        <v>438</v>
      </c>
      <c r="Q14" s="14">
        <v>0.05</v>
      </c>
    </row>
    <row r="15" spans="1:17" ht="32" customHeight="1" x14ac:dyDescent="0.35">
      <c r="A15" s="28" t="s">
        <v>388</v>
      </c>
      <c r="B15" t="s">
        <v>386</v>
      </c>
      <c r="C15" t="s">
        <v>389</v>
      </c>
      <c r="D15" t="s">
        <v>436</v>
      </c>
      <c r="E15" t="s">
        <v>414</v>
      </c>
      <c r="F15" t="s">
        <v>2</v>
      </c>
      <c r="G15" t="s">
        <v>34</v>
      </c>
      <c r="H15" s="14">
        <v>1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f t="shared" si="1"/>
        <v>0</v>
      </c>
      <c r="O15" s="23" t="s">
        <v>439</v>
      </c>
      <c r="P15" t="s">
        <v>440</v>
      </c>
      <c r="Q15" s="14">
        <v>0</v>
      </c>
    </row>
    <row r="16" spans="1:17" ht="32" customHeight="1" x14ac:dyDescent="0.35">
      <c r="A16" s="27" t="s">
        <v>390</v>
      </c>
      <c r="B16" t="s">
        <v>386</v>
      </c>
      <c r="C16" t="s">
        <v>391</v>
      </c>
      <c r="D16" t="s">
        <v>436</v>
      </c>
      <c r="E16" t="s">
        <v>414</v>
      </c>
      <c r="F16" t="s">
        <v>2</v>
      </c>
      <c r="G16" s="82" t="s">
        <v>34</v>
      </c>
      <c r="H16" s="14">
        <v>1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f t="shared" si="1"/>
        <v>0</v>
      </c>
      <c r="O16" s="23" t="s">
        <v>441</v>
      </c>
      <c r="P16" t="s">
        <v>440</v>
      </c>
      <c r="Q16" s="14">
        <v>0</v>
      </c>
    </row>
    <row r="17" spans="1:17" ht="32" customHeight="1" x14ac:dyDescent="0.35">
      <c r="A17" s="28" t="s">
        <v>392</v>
      </c>
      <c r="B17" t="s">
        <v>386</v>
      </c>
      <c r="C17" t="s">
        <v>393</v>
      </c>
      <c r="D17" t="s">
        <v>436</v>
      </c>
      <c r="E17" t="s">
        <v>414</v>
      </c>
      <c r="F17" t="s">
        <v>2</v>
      </c>
      <c r="G17" t="s">
        <v>34</v>
      </c>
      <c r="H17" s="14">
        <v>1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f t="shared" si="1"/>
        <v>0</v>
      </c>
      <c r="O17" s="23" t="s">
        <v>439</v>
      </c>
      <c r="P17" t="s">
        <v>440</v>
      </c>
      <c r="Q17" s="14">
        <v>0</v>
      </c>
    </row>
    <row r="18" spans="1:17" ht="32" customHeight="1" x14ac:dyDescent="0.35">
      <c r="A18" s="27" t="s">
        <v>394</v>
      </c>
      <c r="B18" t="s">
        <v>386</v>
      </c>
      <c r="C18" t="s">
        <v>395</v>
      </c>
      <c r="D18" t="s">
        <v>436</v>
      </c>
      <c r="E18" t="s">
        <v>414</v>
      </c>
      <c r="F18" t="s">
        <v>2</v>
      </c>
      <c r="G18" t="s">
        <v>30</v>
      </c>
      <c r="H18" s="14">
        <v>1</v>
      </c>
      <c r="I18" s="14">
        <v>0</v>
      </c>
      <c r="J18" s="14">
        <v>0</v>
      </c>
      <c r="K18" s="14">
        <v>0.02</v>
      </c>
      <c r="L18" s="14">
        <v>0</v>
      </c>
      <c r="M18" s="14">
        <v>0</v>
      </c>
      <c r="N18" s="14">
        <f t="shared" si="1"/>
        <v>0.02</v>
      </c>
      <c r="O18" s="23" t="s">
        <v>442</v>
      </c>
      <c r="P18" t="s">
        <v>443</v>
      </c>
      <c r="Q18" s="14">
        <v>0.02</v>
      </c>
    </row>
    <row r="19" spans="1:17" ht="32" customHeight="1" x14ac:dyDescent="0.35">
      <c r="A19" s="28" t="s">
        <v>59</v>
      </c>
      <c r="B19" t="s">
        <v>396</v>
      </c>
      <c r="C19" t="s">
        <v>444</v>
      </c>
      <c r="D19" t="s">
        <v>445</v>
      </c>
      <c r="E19" t="s">
        <v>414</v>
      </c>
      <c r="F19" t="s">
        <v>4</v>
      </c>
      <c r="G19" t="s">
        <v>26</v>
      </c>
      <c r="H19" s="14">
        <v>1</v>
      </c>
      <c r="I19" s="14">
        <v>0.4</v>
      </c>
      <c r="J19" s="14">
        <v>0.5</v>
      </c>
      <c r="K19" s="14">
        <v>0.2</v>
      </c>
      <c r="L19" s="14">
        <v>0.1</v>
      </c>
      <c r="M19" s="14">
        <v>0.3</v>
      </c>
      <c r="N19" s="14">
        <f t="shared" si="1"/>
        <v>0.2</v>
      </c>
      <c r="O19" s="23" t="s">
        <v>446</v>
      </c>
      <c r="P19" t="s">
        <v>447</v>
      </c>
      <c r="Q19" s="14">
        <v>0.2</v>
      </c>
    </row>
  </sheetData>
  <mergeCells count="3">
    <mergeCell ref="A1:Q1"/>
    <mergeCell ref="A2:Q2"/>
    <mergeCell ref="A3:Q3"/>
  </mergeCells>
  <conditionalFormatting sqref="N6:N19">
    <cfRule type="dataBar" priority="1">
      <dataBar>
        <cfvo type="min"/>
        <cfvo type="max"/>
        <color rgb="FF16A085"/>
      </dataBar>
      <extLst>
        <ext xmlns:x14="http://schemas.microsoft.com/office/spreadsheetml/2009/9/main" uri="{B025F937-C7B1-47D3-B67F-A62EFF666E3E}">
          <x14:id>{4E6D6297-99FE-4288-9552-CCCFC7E7283F}</x14:id>
        </ext>
      </extLst>
    </cfRule>
  </conditionalFormatting>
  <conditionalFormatting sqref="G6:G19">
    <cfRule type="cellIs" dxfId="9" priority="2" stopIfTrue="1" operator="equal">
      <formula>"Definicion"</formula>
    </cfRule>
    <cfRule type="cellIs" dxfId="8" priority="3" stopIfTrue="1" operator="equal">
      <formula>"Hecho"</formula>
    </cfRule>
    <cfRule type="cellIs" dxfId="7" priority="4" stopIfTrue="1" operator="equal">
      <formula>"En analisis"</formula>
    </cfRule>
    <cfRule type="cellIs" dxfId="6" priority="5" stopIfTrue="1" operator="equal">
      <formula>"En desarrollo"</formula>
    </cfRule>
    <cfRule type="cellIs" dxfId="5" priority="6" stopIfTrue="1" operator="equal">
      <formula>"En integracion"</formula>
    </cfRule>
    <cfRule type="cellIs" dxfId="4" priority="7" stopIfTrue="1" operator="equal">
      <formula>"Por hacer"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6D6297-99FE-4288-9552-CCCFC7E7283F}">
            <x14:dataBar minLength="0" maxLength="100" negativeBarColorSameAsPositive="1" axisPosition="none">
              <x14:cfvo type="min"/>
              <x14:cfvo type="max"/>
            </x14:dataBar>
          </x14:cfRule>
          <xm:sqref>N6:N19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A5F7-8F43-4308-AF4A-0E6ADE5BB5E1}">
  <sheetPr>
    <tabColor rgb="FF16A085"/>
  </sheetPr>
  <dimension ref="A1:L30"/>
  <sheetViews>
    <sheetView workbookViewId="0">
      <selection activeCell="A24" sqref="A24"/>
    </sheetView>
  </sheetViews>
  <sheetFormatPr baseColWidth="10" defaultRowHeight="14.5" x14ac:dyDescent="0.35"/>
  <cols>
    <col min="1" max="1" width="81.6328125" bestFit="1" customWidth="1"/>
    <col min="2" max="2" width="42.6328125" customWidth="1"/>
    <col min="3" max="3" width="52.6328125" customWidth="1"/>
    <col min="4" max="4" width="14.6328125" customWidth="1"/>
    <col min="5" max="5" width="12.6328125" customWidth="1"/>
    <col min="6" max="6" width="14.6328125" customWidth="1"/>
    <col min="7" max="12" width="11.6328125" customWidth="1"/>
  </cols>
  <sheetData>
    <row r="1" spans="1:12" ht="23.5" x14ac:dyDescent="0.55000000000000004">
      <c r="A1" s="195" t="s">
        <v>448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</row>
    <row r="2" spans="1:12" x14ac:dyDescent="0.35">
      <c r="A2" s="193" t="s">
        <v>567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3.5" x14ac:dyDescent="0.55000000000000004">
      <c r="A4" s="10" t="s">
        <v>449</v>
      </c>
      <c r="B4" s="29">
        <v>0.17</v>
      </c>
      <c r="C4" t="s">
        <v>450</v>
      </c>
      <c r="E4" s="30">
        <v>0.48</v>
      </c>
    </row>
    <row r="6" spans="1:12" x14ac:dyDescent="0.35">
      <c r="A6" s="44" t="s">
        <v>400</v>
      </c>
      <c r="B6" s="38" t="s">
        <v>451</v>
      </c>
      <c r="C6" s="38" t="s">
        <v>452</v>
      </c>
      <c r="D6" s="38" t="s">
        <v>453</v>
      </c>
      <c r="E6" s="38" t="s">
        <v>454</v>
      </c>
      <c r="F6" s="38" t="s">
        <v>299</v>
      </c>
      <c r="G6" s="38" t="s">
        <v>455</v>
      </c>
      <c r="H6" s="38" t="s">
        <v>456</v>
      </c>
      <c r="I6" s="38" t="s">
        <v>457</v>
      </c>
      <c r="J6" s="38" t="s">
        <v>458</v>
      </c>
      <c r="K6" s="38" t="s">
        <v>459</v>
      </c>
      <c r="L6" s="47" t="s">
        <v>460</v>
      </c>
    </row>
    <row r="7" spans="1:12" ht="32" customHeight="1" x14ac:dyDescent="0.35">
      <c r="A7" s="45" t="s">
        <v>461</v>
      </c>
      <c r="B7" s="31" t="s">
        <v>462</v>
      </c>
      <c r="C7" s="32" t="s">
        <v>463</v>
      </c>
      <c r="D7" s="31">
        <v>2026</v>
      </c>
      <c r="E7" s="33">
        <v>0.89500000000000002</v>
      </c>
      <c r="F7" s="34" t="s">
        <v>464</v>
      </c>
      <c r="G7" s="35" t="s">
        <v>465</v>
      </c>
      <c r="H7" s="35" t="s">
        <v>465</v>
      </c>
      <c r="I7" s="36"/>
      <c r="J7" s="36"/>
      <c r="K7" s="36"/>
      <c r="L7" s="48"/>
    </row>
    <row r="8" spans="1:12" ht="32" customHeight="1" x14ac:dyDescent="0.35">
      <c r="A8" s="45" t="s">
        <v>466</v>
      </c>
      <c r="B8" s="31" t="s">
        <v>467</v>
      </c>
      <c r="C8" s="32" t="s">
        <v>468</v>
      </c>
      <c r="D8" s="31" t="s">
        <v>469</v>
      </c>
      <c r="E8" s="33">
        <v>0.08</v>
      </c>
      <c r="F8" s="34" t="s">
        <v>464</v>
      </c>
      <c r="G8" s="35" t="s">
        <v>465</v>
      </c>
      <c r="H8" s="35" t="s">
        <v>465</v>
      </c>
      <c r="I8" s="35" t="s">
        <v>465</v>
      </c>
      <c r="J8" s="35" t="s">
        <v>465</v>
      </c>
      <c r="K8" s="35" t="s">
        <v>465</v>
      </c>
      <c r="L8" s="49" t="s">
        <v>465</v>
      </c>
    </row>
    <row r="9" spans="1:12" ht="32" customHeight="1" x14ac:dyDescent="0.35">
      <c r="A9" s="45" t="s">
        <v>470</v>
      </c>
      <c r="B9" s="31" t="s">
        <v>471</v>
      </c>
      <c r="C9" s="32" t="s">
        <v>472</v>
      </c>
      <c r="D9" s="31">
        <v>2026</v>
      </c>
      <c r="E9" s="33">
        <v>0.85</v>
      </c>
      <c r="F9" s="34" t="s">
        <v>464</v>
      </c>
      <c r="G9" s="35" t="s">
        <v>465</v>
      </c>
      <c r="H9" s="35" t="s">
        <v>465</v>
      </c>
      <c r="I9" s="36"/>
      <c r="J9" s="36"/>
      <c r="K9" s="36"/>
      <c r="L9" s="48"/>
    </row>
    <row r="10" spans="1:12" ht="32" customHeight="1" x14ac:dyDescent="0.35">
      <c r="A10" s="45" t="s">
        <v>473</v>
      </c>
      <c r="B10" s="31" t="s">
        <v>474</v>
      </c>
      <c r="C10" s="32" t="s">
        <v>475</v>
      </c>
      <c r="D10" s="31" t="s">
        <v>469</v>
      </c>
      <c r="E10" s="33">
        <v>0.08</v>
      </c>
      <c r="F10" s="34" t="s">
        <v>464</v>
      </c>
      <c r="G10" s="35" t="s">
        <v>465</v>
      </c>
      <c r="H10" s="35" t="s">
        <v>465</v>
      </c>
      <c r="I10" s="35" t="s">
        <v>465</v>
      </c>
      <c r="J10" s="35" t="s">
        <v>465</v>
      </c>
      <c r="K10" s="35" t="s">
        <v>465</v>
      </c>
      <c r="L10" s="49" t="s">
        <v>465</v>
      </c>
    </row>
    <row r="11" spans="1:12" ht="32" customHeight="1" x14ac:dyDescent="0.35">
      <c r="A11" s="45" t="s">
        <v>476</v>
      </c>
      <c r="B11" s="31" t="s">
        <v>477</v>
      </c>
      <c r="C11" s="32" t="s">
        <v>478</v>
      </c>
      <c r="D11" s="31" t="s">
        <v>479</v>
      </c>
      <c r="E11" s="33">
        <v>0</v>
      </c>
      <c r="F11" s="31" t="s">
        <v>480</v>
      </c>
      <c r="G11" s="36"/>
      <c r="H11" s="36"/>
      <c r="I11" s="37" t="s">
        <v>465</v>
      </c>
      <c r="J11" s="37" t="s">
        <v>465</v>
      </c>
      <c r="K11" s="37" t="s">
        <v>465</v>
      </c>
      <c r="L11" s="50" t="s">
        <v>465</v>
      </c>
    </row>
    <row r="12" spans="1:12" ht="32" customHeight="1" x14ac:dyDescent="0.35">
      <c r="A12" s="45" t="s">
        <v>481</v>
      </c>
      <c r="B12" s="31" t="s">
        <v>482</v>
      </c>
      <c r="C12" s="32" t="s">
        <v>483</v>
      </c>
      <c r="D12" s="31" t="s">
        <v>479</v>
      </c>
      <c r="E12" s="33">
        <v>0</v>
      </c>
      <c r="F12" s="31" t="s">
        <v>480</v>
      </c>
      <c r="G12" s="36"/>
      <c r="H12" s="36"/>
      <c r="I12" s="37" t="s">
        <v>465</v>
      </c>
      <c r="J12" s="37" t="s">
        <v>465</v>
      </c>
      <c r="K12" s="37" t="s">
        <v>465</v>
      </c>
      <c r="L12" s="50" t="s">
        <v>465</v>
      </c>
    </row>
    <row r="13" spans="1:12" ht="32" customHeight="1" x14ac:dyDescent="0.35">
      <c r="A13" s="46" t="s">
        <v>484</v>
      </c>
      <c r="B13" s="39" t="s">
        <v>485</v>
      </c>
      <c r="C13" s="40" t="s">
        <v>486</v>
      </c>
      <c r="D13" s="39">
        <v>2028</v>
      </c>
      <c r="E13" s="41">
        <v>0</v>
      </c>
      <c r="F13" s="39" t="s">
        <v>327</v>
      </c>
      <c r="G13" s="42"/>
      <c r="H13" s="42"/>
      <c r="I13" s="42"/>
      <c r="J13" s="42"/>
      <c r="K13" s="43" t="s">
        <v>465</v>
      </c>
      <c r="L13" s="51" t="s">
        <v>465</v>
      </c>
    </row>
    <row r="16" spans="1:12" ht="18.5" x14ac:dyDescent="0.45">
      <c r="A16" s="2" t="s">
        <v>487</v>
      </c>
    </row>
    <row r="17" spans="1:4" x14ac:dyDescent="0.35">
      <c r="A17" s="52" t="s">
        <v>488</v>
      </c>
      <c r="B17" s="52" t="s">
        <v>489</v>
      </c>
      <c r="C17" s="52" t="s">
        <v>299</v>
      </c>
      <c r="D17" s="52" t="s">
        <v>410</v>
      </c>
    </row>
    <row r="18" spans="1:4" ht="22" customHeight="1" x14ac:dyDescent="0.35">
      <c r="A18" s="31" t="s">
        <v>490</v>
      </c>
      <c r="B18" s="31" t="s">
        <v>491</v>
      </c>
      <c r="C18" s="31" t="s">
        <v>464</v>
      </c>
      <c r="D18" s="33">
        <v>0.85</v>
      </c>
    </row>
    <row r="19" spans="1:4" ht="22" customHeight="1" x14ac:dyDescent="0.35">
      <c r="A19" s="31" t="s">
        <v>492</v>
      </c>
      <c r="B19" s="31" t="s">
        <v>493</v>
      </c>
      <c r="C19" s="31" t="s">
        <v>464</v>
      </c>
      <c r="D19" s="33">
        <v>0.85</v>
      </c>
    </row>
    <row r="20" spans="1:4" ht="22" customHeight="1" x14ac:dyDescent="0.35">
      <c r="A20" s="31" t="s">
        <v>494</v>
      </c>
      <c r="B20" s="31" t="s">
        <v>495</v>
      </c>
      <c r="C20" s="31" t="s">
        <v>464</v>
      </c>
      <c r="D20" s="33">
        <v>0.8</v>
      </c>
    </row>
    <row r="21" spans="1:4" ht="22" customHeight="1" x14ac:dyDescent="0.35">
      <c r="A21" s="31" t="s">
        <v>496</v>
      </c>
      <c r="B21" s="31" t="s">
        <v>497</v>
      </c>
      <c r="C21" s="31" t="s">
        <v>464</v>
      </c>
      <c r="D21" s="33">
        <v>0.85</v>
      </c>
    </row>
    <row r="22" spans="1:4" ht="22" customHeight="1" x14ac:dyDescent="0.35">
      <c r="A22" s="31" t="s">
        <v>498</v>
      </c>
      <c r="B22" s="31" t="s">
        <v>499</v>
      </c>
      <c r="C22" s="31" t="s">
        <v>464</v>
      </c>
      <c r="D22" s="33">
        <v>0.2</v>
      </c>
    </row>
    <row r="24" spans="1:4" ht="18.5" x14ac:dyDescent="0.45">
      <c r="A24" s="2" t="s">
        <v>500</v>
      </c>
    </row>
    <row r="25" spans="1:4" x14ac:dyDescent="0.35">
      <c r="A25" s="52" t="s">
        <v>293</v>
      </c>
      <c r="B25" s="52" t="s">
        <v>501</v>
      </c>
    </row>
    <row r="26" spans="1:4" ht="22" customHeight="1" x14ac:dyDescent="0.35">
      <c r="A26" s="31" t="s">
        <v>304</v>
      </c>
      <c r="B26" s="31" t="s">
        <v>502</v>
      </c>
    </row>
    <row r="27" spans="1:4" ht="22" customHeight="1" x14ac:dyDescent="0.35">
      <c r="A27" s="31" t="s">
        <v>380</v>
      </c>
      <c r="B27" s="31" t="s">
        <v>503</v>
      </c>
    </row>
    <row r="28" spans="1:4" ht="22" customHeight="1" x14ac:dyDescent="0.35">
      <c r="A28" s="31" t="s">
        <v>386</v>
      </c>
      <c r="B28" s="31" t="s">
        <v>504</v>
      </c>
    </row>
    <row r="30" spans="1:4" x14ac:dyDescent="0.35">
      <c r="A30" s="53" t="s">
        <v>505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2070-3C1E-463B-82D3-4F7E59499785}">
  <sheetPr>
    <tabColor rgb="FF16A085"/>
  </sheetPr>
  <dimension ref="A1:L17"/>
  <sheetViews>
    <sheetView workbookViewId="0">
      <selection activeCell="J16" sqref="J16"/>
    </sheetView>
  </sheetViews>
  <sheetFormatPr baseColWidth="10" defaultRowHeight="14.5" x14ac:dyDescent="0.35"/>
  <cols>
    <col min="1" max="1" width="10.6328125" customWidth="1"/>
    <col min="2" max="2" width="42.6328125" customWidth="1"/>
    <col min="3" max="3" width="16.6328125" customWidth="1"/>
    <col min="4" max="4" width="12.6328125" customWidth="1"/>
    <col min="5" max="5" width="16.6328125" customWidth="1"/>
    <col min="6" max="11" width="13.6328125" customWidth="1"/>
    <col min="12" max="12" width="48.6328125" customWidth="1"/>
  </cols>
  <sheetData>
    <row r="1" spans="1:12" ht="23.5" x14ac:dyDescent="0.55000000000000004">
      <c r="A1" s="195" t="s">
        <v>506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</row>
    <row r="2" spans="1:12" x14ac:dyDescent="0.35">
      <c r="A2" s="193" t="s">
        <v>568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3.5" x14ac:dyDescent="0.55000000000000004">
      <c r="A4" s="54" t="s">
        <v>507</v>
      </c>
      <c r="B4" s="15">
        <f>IFERROR(AVERAGEIFS(tblBacklog[Avance],tblBacklog[Area],"Talento Humano",tblBacklog[Estado],"&lt;&gt;Por hacer"),0)</f>
        <v>0.25</v>
      </c>
      <c r="C4" s="53" t="s">
        <v>508</v>
      </c>
    </row>
    <row r="6" spans="1:12" x14ac:dyDescent="0.35">
      <c r="A6" s="52" t="s">
        <v>400</v>
      </c>
      <c r="B6" s="52" t="s">
        <v>294</v>
      </c>
      <c r="C6" s="52" t="s">
        <v>48</v>
      </c>
      <c r="D6" s="52" t="s">
        <v>299</v>
      </c>
      <c r="E6" s="52" t="s">
        <v>404</v>
      </c>
      <c r="F6" s="52" t="s">
        <v>405</v>
      </c>
      <c r="G6" s="52" t="s">
        <v>406</v>
      </c>
      <c r="H6" s="52" t="s">
        <v>407</v>
      </c>
      <c r="I6" s="52" t="s">
        <v>408</v>
      </c>
      <c r="J6" s="52" t="s">
        <v>409</v>
      </c>
      <c r="K6" s="52" t="s">
        <v>410</v>
      </c>
      <c r="L6" s="52" t="s">
        <v>302</v>
      </c>
    </row>
    <row r="7" spans="1:12" ht="28" customHeight="1" x14ac:dyDescent="0.35">
      <c r="A7" s="31" t="s">
        <v>102</v>
      </c>
      <c r="B7" s="32" t="s">
        <v>305</v>
      </c>
      <c r="C7" s="31" t="s">
        <v>413</v>
      </c>
      <c r="D7" s="31" t="s">
        <v>28</v>
      </c>
      <c r="E7" s="33">
        <f>IFERROR(INDEX(tblBacklog[Identificacion],MATCH("TH-01",tblBacklog[ID],0)),0)</f>
        <v>1</v>
      </c>
      <c r="F7" s="33">
        <f>IFERROR(INDEX(tblBacklog[AnalisisDRF],MATCH("TH-01",tblBacklog[ID],0)),0)</f>
        <v>0.9</v>
      </c>
      <c r="G7" s="33">
        <f>IFERROR(INDEX(tblBacklog[Diseno],MATCH("TH-01",tblBacklog[ID],0)),0)</f>
        <v>0.4</v>
      </c>
      <c r="H7" s="33">
        <f>IFERROR(INDEX(tblBacklog[Desarrollo],MATCH("TH-01",tblBacklog[ID],0)),0)</f>
        <v>0.25</v>
      </c>
      <c r="I7" s="33">
        <f>IFERROR(INDEX(tblBacklog[Pruebas],MATCH("TH-01",tblBacklog[ID],0)),0)</f>
        <v>0</v>
      </c>
      <c r="J7" s="33">
        <f>IFERROR(INDEX(tblBacklog[Implementacion],MATCH("TH-01",tblBacklog[ID],0)),0)</f>
        <v>0</v>
      </c>
      <c r="K7" s="33">
        <f>IFERROR(INDEX(tblBacklog[Avance],MATCH("TH-01",tblBacklog[ID],0)),0)</f>
        <v>0.25</v>
      </c>
      <c r="L7" s="32" t="s">
        <v>415</v>
      </c>
    </row>
    <row r="8" spans="1:12" ht="28" customHeight="1" x14ac:dyDescent="0.35">
      <c r="A8" s="31" t="s">
        <v>115</v>
      </c>
      <c r="B8" s="32" t="s">
        <v>417</v>
      </c>
      <c r="C8" s="31" t="s">
        <v>413</v>
      </c>
      <c r="D8" s="31" t="s">
        <v>28</v>
      </c>
      <c r="E8" s="33">
        <f>IFERROR(INDEX(tblBacklog[Identificacion],MATCH("TH-02",tblBacklog[ID],0)),0)</f>
        <v>1</v>
      </c>
      <c r="F8" s="33">
        <f>IFERROR(INDEX(tblBacklog[AnalisisDRF],MATCH("TH-02",tblBacklog[ID],0)),0)</f>
        <v>0.9</v>
      </c>
      <c r="G8" s="33">
        <f>IFERROR(INDEX(tblBacklog[Diseno],MATCH("TH-02",tblBacklog[ID],0)),0)</f>
        <v>0.85</v>
      </c>
      <c r="H8" s="33">
        <f>IFERROR(INDEX(tblBacklog[Desarrollo],MATCH("TH-02",tblBacklog[ID],0)),0)</f>
        <v>0.7</v>
      </c>
      <c r="I8" s="33">
        <f>IFERROR(INDEX(tblBacklog[Pruebas],MATCH("TH-02",tblBacklog[ID],0)),0)</f>
        <v>0</v>
      </c>
      <c r="J8" s="33">
        <f>IFERROR(INDEX(tblBacklog[Implementacion],MATCH("TH-02",tblBacklog[ID],0)),0)</f>
        <v>0</v>
      </c>
      <c r="K8" s="33">
        <f>IFERROR(INDEX(tblBacklog[Avance],MATCH("TH-02",tblBacklog[ID],0)),0)</f>
        <v>0.7</v>
      </c>
      <c r="L8" s="32" t="s">
        <v>418</v>
      </c>
    </row>
    <row r="9" spans="1:12" ht="28" customHeight="1" x14ac:dyDescent="0.35">
      <c r="A9" s="31" t="s">
        <v>373</v>
      </c>
      <c r="B9" s="32" t="s">
        <v>374</v>
      </c>
      <c r="C9" s="31" t="s">
        <v>419</v>
      </c>
      <c r="D9" s="31" t="s">
        <v>30</v>
      </c>
      <c r="E9" s="33">
        <f>IFERROR(INDEX(tblBacklog[Identificacion],MATCH("TH-03",tblBacklog[ID],0)),0)</f>
        <v>1</v>
      </c>
      <c r="F9" s="33">
        <f>IFERROR(INDEX(tblBacklog[AnalisisDRF],MATCH("TH-03",tblBacklog[ID],0)),0)</f>
        <v>0.08</v>
      </c>
      <c r="G9" s="33">
        <f>IFERROR(INDEX(tblBacklog[Diseno],MATCH("TH-03",tblBacklog[ID],0)),0)</f>
        <v>0.1</v>
      </c>
      <c r="H9" s="33">
        <f>IFERROR(INDEX(tblBacklog[Desarrollo],MATCH("TH-03",tblBacklog[ID],0)),0)</f>
        <v>0.02</v>
      </c>
      <c r="I9" s="33">
        <f>IFERROR(INDEX(tblBacklog[Pruebas],MATCH("TH-03",tblBacklog[ID],0)),0)</f>
        <v>0</v>
      </c>
      <c r="J9" s="33">
        <f>IFERROR(INDEX(tblBacklog[Implementacion],MATCH("TH-03",tblBacklog[ID],0)),0)</f>
        <v>0</v>
      </c>
      <c r="K9" s="33">
        <f>IFERROR(INDEX(tblBacklog[Avance],MATCH("TH-03",tblBacklog[ID],0)),0)</f>
        <v>0.02</v>
      </c>
      <c r="L9" s="32" t="s">
        <v>420</v>
      </c>
    </row>
    <row r="10" spans="1:12" ht="28" customHeight="1" x14ac:dyDescent="0.35">
      <c r="A10" s="31" t="s">
        <v>141</v>
      </c>
      <c r="B10" s="32" t="s">
        <v>379</v>
      </c>
      <c r="C10" s="31" t="s">
        <v>422</v>
      </c>
      <c r="D10" s="31" t="s">
        <v>28</v>
      </c>
      <c r="E10" s="33">
        <f>IFERROR(INDEX(tblBacklog[Identificacion],MATCH("TH-04",tblBacklog[ID],0)),0)</f>
        <v>1</v>
      </c>
      <c r="F10" s="33">
        <f>IFERROR(INDEX(tblBacklog[AnalisisDRF],MATCH("TH-04",tblBacklog[ID],0)),0)</f>
        <v>0.08</v>
      </c>
      <c r="G10" s="33">
        <f>IFERROR(INDEX(tblBacklog[Diseno],MATCH("TH-04",tblBacklog[ID],0)),0)</f>
        <v>0.2</v>
      </c>
      <c r="H10" s="33">
        <f>IFERROR(INDEX(tblBacklog[Desarrollo],MATCH("TH-04",tblBacklog[ID],0)),0)</f>
        <v>0.03</v>
      </c>
      <c r="I10" s="33">
        <f>IFERROR(INDEX(tblBacklog[Pruebas],MATCH("TH-04",tblBacklog[ID],0)),0)</f>
        <v>0</v>
      </c>
      <c r="J10" s="33">
        <f>IFERROR(INDEX(tblBacklog[Implementacion],MATCH("TH-04",tblBacklog[ID],0)),0)</f>
        <v>0</v>
      </c>
      <c r="K10" s="33">
        <f>IFERROR(INDEX(tblBacklog[Avance],MATCH("TH-04",tblBacklog[ID],0)),0)</f>
        <v>0.03</v>
      </c>
      <c r="L10" s="32" t="s">
        <v>423</v>
      </c>
    </row>
    <row r="12" spans="1:12" ht="17" x14ac:dyDescent="0.4">
      <c r="A12" s="57" t="s">
        <v>512</v>
      </c>
    </row>
    <row r="13" spans="1:12" x14ac:dyDescent="0.35">
      <c r="A13" s="58" t="s">
        <v>400</v>
      </c>
      <c r="B13" s="58" t="s">
        <v>294</v>
      </c>
      <c r="C13" s="58" t="s">
        <v>513</v>
      </c>
      <c r="D13" s="58" t="s">
        <v>514</v>
      </c>
      <c r="E13" s="58" t="s">
        <v>515</v>
      </c>
      <c r="F13" s="58" t="s">
        <v>516</v>
      </c>
      <c r="G13" s="58" t="s">
        <v>517</v>
      </c>
      <c r="H13" s="58" t="s">
        <v>518</v>
      </c>
    </row>
    <row r="14" spans="1:12" ht="22" customHeight="1" x14ac:dyDescent="0.35">
      <c r="A14" s="31" t="s">
        <v>102</v>
      </c>
      <c r="B14" s="31" t="s">
        <v>305</v>
      </c>
      <c r="C14" s="31">
        <f>COUNTIFS(tblDRF[BacklogID],"TH-01",tblDRF[TipoReq],"RF",tblDRF[Estado],"Construido")</f>
        <v>1</v>
      </c>
      <c r="D14" s="31">
        <f>COUNTIFS(tblDRF[BacklogID],"TH-01",tblDRF[TipoReq],"RF",tblDRF[Estado],"Parcial")</f>
        <v>2</v>
      </c>
      <c r="E14" s="31">
        <f>COUNTIFS(tblDRF[BacklogID],"TH-01",tblDRF[TipoReq],"RF",tblDRF[Estado],"No iniciado")</f>
        <v>6</v>
      </c>
      <c r="F14" s="33">
        <f>IFERROR(AVERAGEIFS(tblDRF[AvanceRF],tblDRF[BacklogID],"TH-01",tblDRF[TipoReq],"RF"),"Sin DRF")</f>
        <v>0.22222222222222221</v>
      </c>
      <c r="G14" s="31">
        <f>COUNTIFS(tblDRF[BacklogID],"TH-01",tblDRF[TipoReq],"CAT",tblDRF[Estado],"Construido")</f>
        <v>4</v>
      </c>
      <c r="H14" s="31">
        <f>COUNTIF(tblOpciones[BacklogID],"TH-01")</f>
        <v>9</v>
      </c>
    </row>
    <row r="15" spans="1:12" ht="22" customHeight="1" x14ac:dyDescent="0.35">
      <c r="A15" s="31" t="s">
        <v>115</v>
      </c>
      <c r="B15" s="31" t="s">
        <v>417</v>
      </c>
      <c r="C15" s="31">
        <f>COUNTIFS(tblDRF[BacklogID],"TH-02",tblDRF[TipoReq],"RF",tblDRF[Estado],"Construido")</f>
        <v>2</v>
      </c>
      <c r="D15" s="31">
        <f>COUNTIFS(tblDRF[BacklogID],"TH-02",tblDRF[TipoReq],"RF",tblDRF[Estado],"Parcial")</f>
        <v>3</v>
      </c>
      <c r="E15" s="31">
        <f>COUNTIFS(tblDRF[BacklogID],"TH-02",tblDRF[TipoReq],"RF",tblDRF[Estado],"No iniciado")</f>
        <v>0</v>
      </c>
      <c r="F15" s="33">
        <f>IFERROR(AVERAGEIFS(tblDRF[AvanceRF],tblDRF[BacklogID],"TH-02",tblDRF[TipoReq],"RF"),"Sin DRF")</f>
        <v>0.7</v>
      </c>
      <c r="G15" s="31">
        <f>COUNTIFS(tblDRF[BacklogID],"TH-02",tblDRF[TipoReq],"CAT",tblDRF[Estado],"Construido")</f>
        <v>3</v>
      </c>
      <c r="H15" s="31">
        <f>COUNTIF(tblOpciones[BacklogID],"TH-02")</f>
        <v>12</v>
      </c>
    </row>
    <row r="16" spans="1:12" ht="22" customHeight="1" x14ac:dyDescent="0.35">
      <c r="A16" s="31" t="s">
        <v>373</v>
      </c>
      <c r="B16" s="31" t="s">
        <v>374</v>
      </c>
      <c r="C16" s="31">
        <f>COUNTIFS(tblDRF[BacklogID],"TH-03",tblDRF[TipoReq],"RF",tblDRF[Estado],"Construido")</f>
        <v>0</v>
      </c>
      <c r="D16" s="31">
        <f>COUNTIFS(tblDRF[BacklogID],"TH-03",tblDRF[TipoReq],"RF",tblDRF[Estado],"Parcial")</f>
        <v>0</v>
      </c>
      <c r="E16" s="31">
        <f>COUNTIFS(tblDRF[BacklogID],"TH-03",tblDRF[TipoReq],"RF",tblDRF[Estado],"No iniciado")</f>
        <v>0</v>
      </c>
      <c r="F16" s="33" t="str">
        <f>IFERROR(AVERAGEIFS(tblDRF[AvanceRF],tblDRF[BacklogID],"TH-03",tblDRF[TipoReq],"RF"),"Sin DRF")</f>
        <v>Sin DRF</v>
      </c>
      <c r="G16" s="31">
        <f>COUNTIFS(tblDRF[BacklogID],"TH-03",tblDRF[TipoReq],"CAT",tblDRF[Estado],"Construido")</f>
        <v>0</v>
      </c>
      <c r="H16" s="31">
        <f>COUNTIF(tblOpciones[BacklogID],"TH-03")</f>
        <v>0</v>
      </c>
    </row>
    <row r="17" spans="1:8" ht="22" customHeight="1" x14ac:dyDescent="0.35">
      <c r="A17" s="31" t="s">
        <v>141</v>
      </c>
      <c r="B17" s="31" t="s">
        <v>379</v>
      </c>
      <c r="C17" s="31">
        <f>COUNTIFS(tblDRF[BacklogID],"TH-04",tblDRF[TipoReq],"RF",tblDRF[Estado],"Construido")</f>
        <v>0</v>
      </c>
      <c r="D17" s="31">
        <f>COUNTIFS(tblDRF[BacklogID],"TH-04",tblDRF[TipoReq],"RF",tblDRF[Estado],"Parcial")</f>
        <v>0</v>
      </c>
      <c r="E17" s="31">
        <f>COUNTIFS(tblDRF[BacklogID],"TH-04",tblDRF[TipoReq],"RF",tblDRF[Estado],"No iniciado")</f>
        <v>0</v>
      </c>
      <c r="F17" s="33" t="str">
        <f>IFERROR(AVERAGEIFS(tblDRF[AvanceRF],tblDRF[BacklogID],"TH-04",tblDRF[TipoReq],"RF"),"Sin DRF")</f>
        <v>Sin DRF</v>
      </c>
      <c r="G17" s="31">
        <f>COUNTIFS(tblDRF[BacklogID],"TH-04",tblDRF[TipoReq],"CAT",tblDRF[Estado],"Construido")</f>
        <v>0</v>
      </c>
      <c r="H17" s="31">
        <f>COUNTIF(tblOpciones[BacklogID],"TH-04")</f>
        <v>4</v>
      </c>
    </row>
  </sheetData>
  <mergeCells count="2">
    <mergeCell ref="A1:L1"/>
    <mergeCell ref="A2:L2"/>
  </mergeCells>
  <conditionalFormatting sqref="K7:K10">
    <cfRule type="dataBar" priority="1">
      <dataBar>
        <cfvo type="min"/>
        <cfvo type="max"/>
        <color rgb="FF16A085"/>
      </dataBar>
      <extLst>
        <ext xmlns:x14="http://schemas.microsoft.com/office/spreadsheetml/2009/9/main" uri="{B025F937-C7B1-47D3-B67F-A62EFF666E3E}">
          <x14:id>{9EA0C72E-0218-4020-83B7-84D5874E3601}</x14:id>
        </ext>
      </extLst>
    </cfRule>
  </conditionalFormatting>
  <conditionalFormatting sqref="F14:F17">
    <cfRule type="dataBar" priority="2">
      <dataBar>
        <cfvo type="min"/>
        <cfvo type="max"/>
        <color rgb="FF16A085"/>
      </dataBar>
      <extLst>
        <ext xmlns:x14="http://schemas.microsoft.com/office/spreadsheetml/2009/9/main" uri="{B025F937-C7B1-47D3-B67F-A62EFF666E3E}">
          <x14:id>{081AA4D2-68A0-48A3-A9E5-9CB37B198E95}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A0C72E-0218-4020-83B7-84D5874E3601}">
            <x14:dataBar minLength="0" maxLength="100" negativeBarColorSameAsPositive="1" axisPosition="none">
              <x14:cfvo type="min"/>
              <x14:cfvo type="max"/>
            </x14:dataBar>
          </x14:cfRule>
          <xm:sqref>K7:K10</xm:sqref>
        </x14:conditionalFormatting>
        <x14:conditionalFormatting xmlns:xm="http://schemas.microsoft.com/office/excel/2006/main">
          <x14:cfRule type="dataBar" id="{081AA4D2-68A0-48A3-A9E5-9CB37B198E95}">
            <x14:dataBar minLength="0" maxLength="100" negativeBarColorSameAsPositive="1" axisPosition="none">
              <x14:cfvo type="min"/>
              <x14:cfvo type="max"/>
            </x14:dataBar>
          </x14:cfRule>
          <xm:sqref>F14:F17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7FC3-FBC6-42A9-B944-DC1257F4EED6}">
  <sheetPr>
    <tabColor rgb="FF2980B9"/>
  </sheetPr>
  <dimension ref="A1:L10"/>
  <sheetViews>
    <sheetView workbookViewId="0">
      <selection activeCell="E18" sqref="E18"/>
    </sheetView>
  </sheetViews>
  <sheetFormatPr baseColWidth="10" defaultRowHeight="14.5" x14ac:dyDescent="0.35"/>
  <cols>
    <col min="1" max="1" width="22.453125" bestFit="1" customWidth="1"/>
    <col min="2" max="2" width="42.6328125" customWidth="1"/>
    <col min="3" max="3" width="16.6328125" customWidth="1"/>
    <col min="4" max="4" width="12.6328125" customWidth="1"/>
    <col min="5" max="5" width="16.6328125" customWidth="1"/>
    <col min="6" max="11" width="13.6328125" customWidth="1"/>
    <col min="12" max="12" width="48.6328125" customWidth="1"/>
  </cols>
  <sheetData>
    <row r="1" spans="1:12" ht="23.5" x14ac:dyDescent="0.55000000000000004">
      <c r="A1" s="195" t="s">
        <v>509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</row>
    <row r="2" spans="1:12" x14ac:dyDescent="0.35">
      <c r="A2" s="193" t="s">
        <v>569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3.5" x14ac:dyDescent="0.55000000000000004">
      <c r="A4" s="54" t="s">
        <v>507</v>
      </c>
      <c r="B4" s="55">
        <f>IFERROR(AVERAGEIFS(tblBacklog[Avance],tblBacklog[Area],"Contabilidad y Finanzas",tblBacklog[Estado],"&lt;&gt;Por hacer"),0)</f>
        <v>0.30249999999999999</v>
      </c>
      <c r="C4" s="53" t="s">
        <v>508</v>
      </c>
    </row>
    <row r="6" spans="1:12" x14ac:dyDescent="0.35">
      <c r="A6" s="52" t="s">
        <v>400</v>
      </c>
      <c r="B6" s="52" t="s">
        <v>294</v>
      </c>
      <c r="C6" s="52" t="s">
        <v>48</v>
      </c>
      <c r="D6" s="52" t="s">
        <v>299</v>
      </c>
      <c r="E6" s="52" t="s">
        <v>404</v>
      </c>
      <c r="F6" s="52" t="s">
        <v>405</v>
      </c>
      <c r="G6" s="52" t="s">
        <v>406</v>
      </c>
      <c r="H6" s="52" t="s">
        <v>407</v>
      </c>
      <c r="I6" s="52" t="s">
        <v>408</v>
      </c>
      <c r="J6" s="52" t="s">
        <v>409</v>
      </c>
      <c r="K6" s="52" t="s">
        <v>410</v>
      </c>
      <c r="L6" s="52" t="s">
        <v>302</v>
      </c>
    </row>
    <row r="7" spans="1:12" ht="28" customHeight="1" x14ac:dyDescent="0.35">
      <c r="A7" s="31" t="s">
        <v>149</v>
      </c>
      <c r="B7" s="32" t="s">
        <v>146</v>
      </c>
      <c r="C7" s="31" t="s">
        <v>425</v>
      </c>
      <c r="D7" s="31" t="s">
        <v>28</v>
      </c>
      <c r="E7" s="33">
        <f>IFERROR(INDEX(tblBacklog[Identificacion],MATCH("CF-01",tblBacklog[ID],0)),0)</f>
        <v>1</v>
      </c>
      <c r="F7" s="33">
        <f>IFERROR(INDEX(tblBacklog[AnalisisDRF],MATCH("CF-01",tblBacklog[ID],0)),0)</f>
        <v>0.5</v>
      </c>
      <c r="G7" s="33">
        <f>IFERROR(INDEX(tblBacklog[Diseno],MATCH("CF-01",tblBacklog[ID],0)),0)</f>
        <v>0.5</v>
      </c>
      <c r="H7" s="33">
        <f>IFERROR(INDEX(tblBacklog[Desarrollo],MATCH("CF-01",tblBacklog[ID],0)),0)</f>
        <v>0.45</v>
      </c>
      <c r="I7" s="33">
        <f>IFERROR(INDEX(tblBacklog[Pruebas],MATCH("CF-01",tblBacklog[ID],0)),0)</f>
        <v>0</v>
      </c>
      <c r="J7" s="33">
        <f>IFERROR(INDEX(tblBacklog[Implementacion],MATCH("CF-01",tblBacklog[ID],0)),0)</f>
        <v>0</v>
      </c>
      <c r="K7" s="33">
        <f>IFERROR(INDEX(tblBacklog[Avance],MATCH("CF-01",tblBacklog[ID],0)),0)</f>
        <v>0.45</v>
      </c>
      <c r="L7" s="32" t="s">
        <v>426</v>
      </c>
    </row>
    <row r="8" spans="1:12" ht="28" customHeight="1" x14ac:dyDescent="0.35">
      <c r="A8" s="31" t="s">
        <v>212</v>
      </c>
      <c r="B8" s="32" t="s">
        <v>381</v>
      </c>
      <c r="C8" s="31" t="s">
        <v>428</v>
      </c>
      <c r="D8" s="31" t="s">
        <v>28</v>
      </c>
      <c r="E8" s="33">
        <f>IFERROR(INDEX(tblBacklog[Identificacion],MATCH("CF-02",tblBacklog[ID],0)),0)</f>
        <v>1</v>
      </c>
      <c r="F8" s="33">
        <f>IFERROR(INDEX(tblBacklog[AnalisisDRF],MATCH("CF-02",tblBacklog[ID],0)),0)</f>
        <v>0.08</v>
      </c>
      <c r="G8" s="33">
        <f>IFERROR(INDEX(tblBacklog[Diseno],MATCH("CF-02",tblBacklog[ID],0)),0)</f>
        <v>0.3</v>
      </c>
      <c r="H8" s="33">
        <f>IFERROR(INDEX(tblBacklog[Desarrollo],MATCH("CF-02",tblBacklog[ID],0)),0)</f>
        <v>0.25</v>
      </c>
      <c r="I8" s="33">
        <f>IFERROR(INDEX(tblBacklog[Pruebas],MATCH("CF-02",tblBacklog[ID],0)),0)</f>
        <v>0</v>
      </c>
      <c r="J8" s="33">
        <f>IFERROR(INDEX(tblBacklog[Implementacion],MATCH("CF-02",tblBacklog[ID],0)),0)</f>
        <v>0</v>
      </c>
      <c r="K8" s="33">
        <f>IFERROR(INDEX(tblBacklog[Avance],MATCH("CF-02",tblBacklog[ID],0)),0)</f>
        <v>0.25</v>
      </c>
      <c r="L8" s="32" t="s">
        <v>429</v>
      </c>
    </row>
    <row r="9" spans="1:12" ht="28" customHeight="1" x14ac:dyDescent="0.35">
      <c r="A9" s="31" t="s">
        <v>382</v>
      </c>
      <c r="B9" s="32" t="s">
        <v>383</v>
      </c>
      <c r="C9" s="31" t="s">
        <v>431</v>
      </c>
      <c r="D9" s="31" t="s">
        <v>28</v>
      </c>
      <c r="E9" s="33">
        <f>IFERROR(INDEX(tblBacklog[Identificacion],MATCH("CF-03",tblBacklog[ID],0)),0)</f>
        <v>1</v>
      </c>
      <c r="F9" s="33">
        <f>IFERROR(INDEX(tblBacklog[AnalisisDRF],MATCH("CF-03",tblBacklog[ID],0)),0)</f>
        <v>0.08</v>
      </c>
      <c r="G9" s="33">
        <f>IFERROR(INDEX(tblBacklog[Diseno],MATCH("CF-03",tblBacklog[ID],0)),0)</f>
        <v>0.25</v>
      </c>
      <c r="H9" s="33">
        <f>IFERROR(INDEX(tblBacklog[Desarrollo],MATCH("CF-03",tblBacklog[ID],0)),0)</f>
        <v>0.06</v>
      </c>
      <c r="I9" s="33">
        <f>IFERROR(INDEX(tblBacklog[Pruebas],MATCH("CF-03",tblBacklog[ID],0)),0)</f>
        <v>0</v>
      </c>
      <c r="J9" s="33">
        <f>IFERROR(INDEX(tblBacklog[Implementacion],MATCH("CF-03",tblBacklog[ID],0)),0)</f>
        <v>0</v>
      </c>
      <c r="K9" s="33">
        <f>IFERROR(INDEX(tblBacklog[Avance],MATCH("CF-03",tblBacklog[ID],0)),0)</f>
        <v>0.06</v>
      </c>
      <c r="L9" s="32" t="s">
        <v>432</v>
      </c>
    </row>
    <row r="10" spans="1:12" ht="28" customHeight="1" x14ac:dyDescent="0.35">
      <c r="A10" s="31" t="s">
        <v>219</v>
      </c>
      <c r="B10" s="32" t="s">
        <v>384</v>
      </c>
      <c r="C10" s="31" t="s">
        <v>428</v>
      </c>
      <c r="D10" s="31" t="s">
        <v>30</v>
      </c>
      <c r="E10" s="33">
        <f>IFERROR(INDEX(tblBacklog[Identificacion],MATCH("CF-04",tblBacklog[ID],0)),0)</f>
        <v>1</v>
      </c>
      <c r="F10" s="33">
        <f>IFERROR(INDEX(tblBacklog[AnalisisDRF],MATCH("CF-04",tblBacklog[ID],0)),0)</f>
        <v>0.08</v>
      </c>
      <c r="G10" s="33">
        <f>IFERROR(INDEX(tblBacklog[Diseno],MATCH("CF-04",tblBacklog[ID],0)),0)</f>
        <v>0.2</v>
      </c>
      <c r="H10" s="33">
        <f>IFERROR(INDEX(tblBacklog[Desarrollo],MATCH("CF-04",tblBacklog[ID],0)),0)</f>
        <v>0.45</v>
      </c>
      <c r="I10" s="33">
        <f>IFERROR(INDEX(tblBacklog[Pruebas],MATCH("CF-04",tblBacklog[ID],0)),0)</f>
        <v>0</v>
      </c>
      <c r="J10" s="33">
        <f>IFERROR(INDEX(tblBacklog[Implementacion],MATCH("CF-04",tblBacklog[ID],0)),0)</f>
        <v>0</v>
      </c>
      <c r="K10" s="33">
        <f>IFERROR(INDEX(tblBacklog[Avance],MATCH("CF-04",tblBacklog[ID],0)),0)</f>
        <v>0.45</v>
      </c>
      <c r="L10" s="32" t="s">
        <v>434</v>
      </c>
    </row>
  </sheetData>
  <mergeCells count="2">
    <mergeCell ref="A1:L1"/>
    <mergeCell ref="A2:L2"/>
  </mergeCells>
  <conditionalFormatting sqref="K7:K10">
    <cfRule type="dataBar" priority="1">
      <dataBar>
        <cfvo type="min"/>
        <cfvo type="max"/>
        <color rgb="FF2980B9"/>
      </dataBar>
      <extLst>
        <ext xmlns:x14="http://schemas.microsoft.com/office/spreadsheetml/2009/9/main" uri="{B025F937-C7B1-47D3-B67F-A62EFF666E3E}">
          <x14:id>{D650D612-946A-4112-9CD4-C5B9CF020B99}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50D612-946A-4112-9CD4-C5B9CF020B99}">
            <x14:dataBar minLength="0" maxLength="100" negativeBarColorSameAsPositive="1" axisPosition="none">
              <x14:cfvo type="min"/>
              <x14:cfvo type="max"/>
            </x14:dataBar>
          </x14:cfRule>
          <xm:sqref>K7:K10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AC89-9892-46C6-A222-D08EF408AAF3}">
  <sheetPr>
    <tabColor rgb="FF8E44AD"/>
  </sheetPr>
  <dimension ref="A1:L11"/>
  <sheetViews>
    <sheetView workbookViewId="0">
      <selection activeCell="I14" sqref="I14"/>
    </sheetView>
  </sheetViews>
  <sheetFormatPr baseColWidth="10" defaultRowHeight="14.5" x14ac:dyDescent="0.35"/>
  <cols>
    <col min="1" max="1" width="25" customWidth="1"/>
    <col min="2" max="2" width="15.54296875" bestFit="1" customWidth="1"/>
    <col min="3" max="3" width="16.81640625" customWidth="1"/>
    <col min="4" max="4" width="12.6328125" customWidth="1"/>
    <col min="5" max="5" width="16.6328125" customWidth="1"/>
    <col min="6" max="11" width="13.6328125" customWidth="1"/>
    <col min="12" max="12" width="48.6328125" customWidth="1"/>
  </cols>
  <sheetData>
    <row r="1" spans="1:12" ht="23.5" x14ac:dyDescent="0.55000000000000004">
      <c r="A1" s="195" t="s">
        <v>510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</row>
    <row r="2" spans="1:12" x14ac:dyDescent="0.35">
      <c r="A2" s="193" t="s">
        <v>511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3.5" x14ac:dyDescent="0.55000000000000004">
      <c r="A4" s="54" t="s">
        <v>507</v>
      </c>
      <c r="B4" s="56">
        <f>IFERROR(AVERAGEIFS(tblBacklog[Avance],tblBacklog[Area],"Academico",tblBacklog[Estado],"&lt;&gt;Por hacer"),0)</f>
        <v>3.5000000000000003E-2</v>
      </c>
      <c r="C4" s="53" t="s">
        <v>508</v>
      </c>
    </row>
    <row r="6" spans="1:12" x14ac:dyDescent="0.35">
      <c r="A6" s="52" t="s">
        <v>400</v>
      </c>
      <c r="B6" s="52" t="s">
        <v>294</v>
      </c>
      <c r="C6" s="52" t="s">
        <v>48</v>
      </c>
      <c r="D6" s="52" t="s">
        <v>299</v>
      </c>
      <c r="E6" s="52" t="s">
        <v>404</v>
      </c>
      <c r="F6" s="52" t="s">
        <v>405</v>
      </c>
      <c r="G6" s="52" t="s">
        <v>406</v>
      </c>
      <c r="H6" s="52" t="s">
        <v>407</v>
      </c>
      <c r="I6" s="52" t="s">
        <v>408</v>
      </c>
      <c r="J6" s="52" t="s">
        <v>409</v>
      </c>
      <c r="K6" s="52" t="s">
        <v>410</v>
      </c>
      <c r="L6" s="52" t="s">
        <v>302</v>
      </c>
    </row>
    <row r="7" spans="1:12" ht="28" customHeight="1" x14ac:dyDescent="0.35">
      <c r="A7" s="31" t="s">
        <v>385</v>
      </c>
      <c r="B7" s="32" t="s">
        <v>387</v>
      </c>
      <c r="C7" s="31" t="s">
        <v>436</v>
      </c>
      <c r="D7" s="31" t="s">
        <v>30</v>
      </c>
      <c r="E7" s="33">
        <f>IFERROR(INDEX(tblBacklog[Identificacion],MATCH("AC-01",tblBacklog[ID],0)),0)</f>
        <v>1</v>
      </c>
      <c r="F7" s="33">
        <f>IFERROR(INDEX(tblBacklog[AnalisisDRF],MATCH("AC-01",tblBacklog[ID],0)),0)</f>
        <v>0.08</v>
      </c>
      <c r="G7" s="33">
        <f>IFERROR(INDEX(tblBacklog[Diseno],MATCH("AC-01",tblBacklog[ID],0)),0)</f>
        <v>0.1</v>
      </c>
      <c r="H7" s="33">
        <f>IFERROR(INDEX(tblBacklog[Desarrollo],MATCH("AC-01",tblBacklog[ID],0)),0)</f>
        <v>0.05</v>
      </c>
      <c r="I7" s="33">
        <f>IFERROR(INDEX(tblBacklog[Pruebas],MATCH("AC-01",tblBacklog[ID],0)),0)</f>
        <v>0</v>
      </c>
      <c r="J7" s="33">
        <f>IFERROR(INDEX(tblBacklog[Implementacion],MATCH("AC-01",tblBacklog[ID],0)),0)</f>
        <v>0</v>
      </c>
      <c r="K7" s="33">
        <f>IFERROR(INDEX(tblBacklog[Avance],MATCH("AC-01",tblBacklog[ID],0)),0)</f>
        <v>0.05</v>
      </c>
      <c r="L7" s="32" t="s">
        <v>582</v>
      </c>
    </row>
    <row r="8" spans="1:12" ht="28" customHeight="1" x14ac:dyDescent="0.35">
      <c r="A8" s="31" t="s">
        <v>388</v>
      </c>
      <c r="B8" s="32" t="s">
        <v>389</v>
      </c>
      <c r="C8" s="31" t="s">
        <v>436</v>
      </c>
      <c r="D8" s="31" t="s">
        <v>34</v>
      </c>
      <c r="E8" s="33">
        <f>IFERROR(INDEX(tblBacklog[Identificacion],MATCH("AC-02",tblBacklog[ID],0)),0)</f>
        <v>1</v>
      </c>
      <c r="F8" s="33">
        <f>IFERROR(INDEX(tblBacklog[AnalisisDRF],MATCH("AC-02",tblBacklog[ID],0)),0)</f>
        <v>0</v>
      </c>
      <c r="G8" s="33">
        <f>IFERROR(INDEX(tblBacklog[Diseno],MATCH("AC-02",tblBacklog[ID],0)),0)</f>
        <v>0</v>
      </c>
      <c r="H8" s="33">
        <f>IFERROR(INDEX(tblBacklog[Desarrollo],MATCH("AC-02",tblBacklog[ID],0)),0)</f>
        <v>0</v>
      </c>
      <c r="I8" s="33">
        <f>IFERROR(INDEX(tblBacklog[Pruebas],MATCH("AC-02",tblBacklog[ID],0)),0)</f>
        <v>0</v>
      </c>
      <c r="J8" s="33">
        <f>IFERROR(INDEX(tblBacklog[Implementacion],MATCH("AC-02",tblBacklog[ID],0)),0)</f>
        <v>0</v>
      </c>
      <c r="K8" s="33">
        <f>IFERROR(INDEX(tblBacklog[Avance],MATCH("AC-02",tblBacklog[ID],0)),0)</f>
        <v>0</v>
      </c>
      <c r="L8" s="32" t="s">
        <v>439</v>
      </c>
    </row>
    <row r="9" spans="1:12" ht="28" customHeight="1" x14ac:dyDescent="0.35">
      <c r="A9" s="31" t="s">
        <v>390</v>
      </c>
      <c r="B9" s="32" t="s">
        <v>391</v>
      </c>
      <c r="C9" s="31" t="s">
        <v>436</v>
      </c>
      <c r="D9" s="31" t="s">
        <v>34</v>
      </c>
      <c r="E9" s="33">
        <f>IFERROR(INDEX(tblBacklog[Identificacion],MATCH("AC-03",tblBacklog[ID],0)),0)</f>
        <v>1</v>
      </c>
      <c r="F9" s="33">
        <f>IFERROR(INDEX(tblBacklog[AnalisisDRF],MATCH("AC-03",tblBacklog[ID],0)),0)</f>
        <v>0</v>
      </c>
      <c r="G9" s="33">
        <f>IFERROR(INDEX(tblBacklog[Diseno],MATCH("AC-03",tblBacklog[ID],0)),0)</f>
        <v>0</v>
      </c>
      <c r="H9" s="33">
        <f>IFERROR(INDEX(tblBacklog[Desarrollo],MATCH("AC-03",tblBacklog[ID],0)),0)</f>
        <v>0</v>
      </c>
      <c r="I9" s="33">
        <f>IFERROR(INDEX(tblBacklog[Pruebas],MATCH("AC-03",tblBacklog[ID],0)),0)</f>
        <v>0</v>
      </c>
      <c r="J9" s="33">
        <f>IFERROR(INDEX(tblBacklog[Implementacion],MATCH("AC-03",tblBacklog[ID],0)),0)</f>
        <v>0</v>
      </c>
      <c r="K9" s="33">
        <f>IFERROR(INDEX(tblBacklog[Avance],MATCH("AC-03",tblBacklog[ID],0)),0)</f>
        <v>0</v>
      </c>
      <c r="L9" s="32" t="s">
        <v>441</v>
      </c>
    </row>
    <row r="10" spans="1:12" ht="28" customHeight="1" x14ac:dyDescent="0.35">
      <c r="A10" s="31" t="s">
        <v>392</v>
      </c>
      <c r="B10" s="32" t="s">
        <v>393</v>
      </c>
      <c r="C10" s="31" t="s">
        <v>436</v>
      </c>
      <c r="D10" s="31" t="s">
        <v>34</v>
      </c>
      <c r="E10" s="33">
        <f>IFERROR(INDEX(tblBacklog[Identificacion],MATCH("AC-04",tblBacklog[ID],0)),0)</f>
        <v>1</v>
      </c>
      <c r="F10" s="33">
        <f>IFERROR(INDEX(tblBacklog[AnalisisDRF],MATCH("AC-04",tblBacklog[ID],0)),0)</f>
        <v>0</v>
      </c>
      <c r="G10" s="33">
        <f>IFERROR(INDEX(tblBacklog[Diseno],MATCH("AC-04",tblBacklog[ID],0)),0)</f>
        <v>0</v>
      </c>
      <c r="H10" s="33">
        <f>IFERROR(INDEX(tblBacklog[Desarrollo],MATCH("AC-04",tblBacklog[ID],0)),0)</f>
        <v>0</v>
      </c>
      <c r="I10" s="33">
        <f>IFERROR(INDEX(tblBacklog[Pruebas],MATCH("AC-04",tblBacklog[ID],0)),0)</f>
        <v>0</v>
      </c>
      <c r="J10" s="33">
        <f>IFERROR(INDEX(tblBacklog[Implementacion],MATCH("AC-04",tblBacklog[ID],0)),0)</f>
        <v>0</v>
      </c>
      <c r="K10" s="33">
        <f>IFERROR(INDEX(tblBacklog[Avance],MATCH("AC-04",tblBacklog[ID],0)),0)</f>
        <v>0</v>
      </c>
      <c r="L10" s="32" t="s">
        <v>439</v>
      </c>
    </row>
    <row r="11" spans="1:12" ht="28" customHeight="1" x14ac:dyDescent="0.35">
      <c r="A11" s="31" t="s">
        <v>394</v>
      </c>
      <c r="B11" s="32" t="s">
        <v>395</v>
      </c>
      <c r="C11" s="31" t="s">
        <v>436</v>
      </c>
      <c r="D11" s="31" t="s">
        <v>32</v>
      </c>
      <c r="E11" s="33">
        <f>IFERROR(INDEX(tblBacklog[Identificacion],MATCH("AC-05",tblBacklog[ID],0)),0)</f>
        <v>1</v>
      </c>
      <c r="F11" s="33">
        <f>IFERROR(INDEX(tblBacklog[AnalisisDRF],MATCH("AC-05",tblBacklog[ID],0)),0)</f>
        <v>0</v>
      </c>
      <c r="G11" s="33">
        <f>IFERROR(INDEX(tblBacklog[Diseno],MATCH("AC-05",tblBacklog[ID],0)),0)</f>
        <v>0</v>
      </c>
      <c r="H11" s="33">
        <f>IFERROR(INDEX(tblBacklog[Desarrollo],MATCH("AC-05",tblBacklog[ID],0)),0)</f>
        <v>0.02</v>
      </c>
      <c r="I11" s="33">
        <f>IFERROR(INDEX(tblBacklog[Pruebas],MATCH("AC-05",tblBacklog[ID],0)),0)</f>
        <v>0</v>
      </c>
      <c r="J11" s="33">
        <f>IFERROR(INDEX(tblBacklog[Implementacion],MATCH("AC-05",tblBacklog[ID],0)),0)</f>
        <v>0</v>
      </c>
      <c r="K11" s="33">
        <f>IFERROR(INDEX(tblBacklog[Avance],MATCH("AC-05",tblBacklog[ID],0)),0)</f>
        <v>0.02</v>
      </c>
      <c r="L11" s="32" t="s">
        <v>442</v>
      </c>
    </row>
  </sheetData>
  <mergeCells count="2">
    <mergeCell ref="A1:L1"/>
    <mergeCell ref="A2:L2"/>
  </mergeCells>
  <conditionalFormatting sqref="K7:K11">
    <cfRule type="dataBar" priority="1">
      <dataBar>
        <cfvo type="min"/>
        <cfvo type="max"/>
        <color rgb="FF8E44AD"/>
      </dataBar>
      <extLst>
        <ext xmlns:x14="http://schemas.microsoft.com/office/spreadsheetml/2009/9/main" uri="{B025F937-C7B1-47D3-B67F-A62EFF666E3E}">
          <x14:id>{91135152-6137-49B8-835B-3B4EB9F19649}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135152-6137-49B8-835B-3B4EB9F19649}">
            <x14:dataBar minLength="0" maxLength="100" negativeBarColorSameAsPositive="1" axisPosition="none">
              <x14:cfvo type="min"/>
              <x14:cfvo type="max"/>
            </x14:dataBar>
          </x14:cfRule>
          <xm:sqref>K7:K11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A2E1-1DB1-44F6-89D2-7CF67A1A4DB3}">
  <sheetPr>
    <tabColor rgb="FF5A626E"/>
  </sheetPr>
  <dimension ref="A1:G40"/>
  <sheetViews>
    <sheetView workbookViewId="0">
      <selection activeCell="B37" sqref="B37"/>
    </sheetView>
  </sheetViews>
  <sheetFormatPr baseColWidth="10" defaultRowHeight="14.5" x14ac:dyDescent="0.35"/>
  <cols>
    <col min="1" max="1" width="18.6328125" customWidth="1"/>
    <col min="2" max="2" width="110.6328125" customWidth="1"/>
  </cols>
  <sheetData>
    <row r="1" spans="1:7" ht="23.5" customHeight="1" x14ac:dyDescent="0.35">
      <c r="A1" s="196" t="s">
        <v>0</v>
      </c>
      <c r="B1" s="196"/>
      <c r="C1" s="196"/>
      <c r="D1" s="196"/>
      <c r="E1" s="196"/>
      <c r="F1" s="196"/>
      <c r="G1" s="196"/>
    </row>
    <row r="2" spans="1:7" x14ac:dyDescent="0.35">
      <c r="A2" s="196"/>
      <c r="B2" s="196"/>
      <c r="C2" s="196"/>
      <c r="D2" s="196"/>
      <c r="E2" s="196"/>
      <c r="F2" s="196"/>
      <c r="G2" s="196"/>
    </row>
    <row r="3" spans="1:7" x14ac:dyDescent="0.35">
      <c r="A3" s="4"/>
      <c r="B3" s="4"/>
      <c r="C3" s="4"/>
      <c r="D3" s="4"/>
      <c r="E3" s="4"/>
      <c r="F3" s="4"/>
      <c r="G3" s="4"/>
    </row>
    <row r="4" spans="1:7" ht="15.5" x14ac:dyDescent="0.35">
      <c r="A4" s="5" t="s">
        <v>1</v>
      </c>
      <c r="B4" s="4"/>
      <c r="C4" s="4"/>
      <c r="D4" s="4"/>
      <c r="E4" s="4"/>
      <c r="F4" s="4"/>
      <c r="G4" s="4"/>
    </row>
    <row r="5" spans="1:7" x14ac:dyDescent="0.35">
      <c r="A5" s="4"/>
      <c r="B5" s="4"/>
      <c r="C5" s="4"/>
      <c r="D5" s="4"/>
      <c r="E5" s="4"/>
      <c r="F5" s="4"/>
      <c r="G5" s="4"/>
    </row>
    <row r="6" spans="1:7" ht="36" customHeight="1" x14ac:dyDescent="0.45">
      <c r="A6" s="6" t="s">
        <v>2</v>
      </c>
      <c r="B6" s="7" t="s">
        <v>3</v>
      </c>
      <c r="C6" s="4"/>
      <c r="D6" s="4"/>
      <c r="E6" s="4"/>
      <c r="F6" s="4"/>
      <c r="G6" s="4"/>
    </row>
    <row r="7" spans="1:7" ht="36" customHeight="1" x14ac:dyDescent="0.45">
      <c r="A7" s="6" t="s">
        <v>4</v>
      </c>
      <c r="B7" s="7" t="s">
        <v>5</v>
      </c>
      <c r="C7" s="4"/>
      <c r="D7" s="4"/>
      <c r="E7" s="4"/>
      <c r="F7" s="4"/>
      <c r="G7" s="4"/>
    </row>
    <row r="8" spans="1:7" ht="36" customHeight="1" x14ac:dyDescent="0.45">
      <c r="A8" s="6" t="s">
        <v>6</v>
      </c>
      <c r="B8" s="7" t="s">
        <v>7</v>
      </c>
      <c r="C8" s="4"/>
      <c r="D8" s="4"/>
      <c r="E8" s="4"/>
      <c r="F8" s="4"/>
      <c r="G8" s="4"/>
    </row>
    <row r="9" spans="1:7" ht="36" customHeight="1" x14ac:dyDescent="0.45">
      <c r="A9" s="6" t="s">
        <v>8</v>
      </c>
      <c r="B9" s="7" t="s">
        <v>9</v>
      </c>
      <c r="C9" s="4"/>
      <c r="D9" s="4"/>
      <c r="E9" s="4"/>
      <c r="F9" s="4"/>
      <c r="G9" s="4"/>
    </row>
    <row r="10" spans="1:7" ht="36" customHeight="1" x14ac:dyDescent="0.45">
      <c r="A10" s="6" t="s">
        <v>10</v>
      </c>
      <c r="B10" s="7" t="s">
        <v>11</v>
      </c>
      <c r="C10" s="4"/>
      <c r="D10" s="4"/>
      <c r="E10" s="4"/>
      <c r="F10" s="4"/>
      <c r="G10" s="4"/>
    </row>
    <row r="11" spans="1:7" x14ac:dyDescent="0.35">
      <c r="A11" s="4"/>
      <c r="B11" s="4"/>
      <c r="C11" s="4"/>
      <c r="D11" s="4"/>
      <c r="E11" s="4"/>
      <c r="F11" s="4"/>
      <c r="G11" s="4"/>
    </row>
    <row r="12" spans="1:7" ht="18.5" x14ac:dyDescent="0.45">
      <c r="A12" s="6" t="s">
        <v>12</v>
      </c>
      <c r="B12" s="4"/>
      <c r="C12" s="4"/>
      <c r="D12" s="4"/>
      <c r="E12" s="4"/>
      <c r="F12" s="4"/>
      <c r="G12" s="4"/>
    </row>
    <row r="13" spans="1:7" ht="32" customHeight="1" x14ac:dyDescent="0.35">
      <c r="A13" s="8">
        <v>1</v>
      </c>
      <c r="B13" s="7" t="s">
        <v>13</v>
      </c>
      <c r="C13" s="4"/>
      <c r="D13" s="4"/>
      <c r="E13" s="4"/>
      <c r="F13" s="4"/>
      <c r="G13" s="4"/>
    </row>
    <row r="14" spans="1:7" ht="32" customHeight="1" x14ac:dyDescent="0.35">
      <c r="A14" s="8">
        <v>2</v>
      </c>
      <c r="B14" s="7" t="s">
        <v>14</v>
      </c>
      <c r="C14" s="4"/>
      <c r="D14" s="4"/>
      <c r="E14" s="4"/>
      <c r="F14" s="4"/>
      <c r="G14" s="4"/>
    </row>
    <row r="15" spans="1:7" ht="32" customHeight="1" x14ac:dyDescent="0.35">
      <c r="A15" s="8">
        <v>3</v>
      </c>
      <c r="B15" s="7" t="s">
        <v>15</v>
      </c>
      <c r="C15" s="4"/>
      <c r="D15" s="4"/>
      <c r="E15" s="4"/>
      <c r="F15" s="4"/>
      <c r="G15" s="4"/>
    </row>
    <row r="16" spans="1:7" ht="32" customHeight="1" x14ac:dyDescent="0.35">
      <c r="A16" s="8">
        <v>4</v>
      </c>
      <c r="B16" s="7" t="s">
        <v>16</v>
      </c>
      <c r="C16" s="4"/>
      <c r="D16" s="4"/>
      <c r="E16" s="4"/>
      <c r="F16" s="4"/>
      <c r="G16" s="4"/>
    </row>
    <row r="17" spans="1:7" ht="32" customHeight="1" x14ac:dyDescent="0.35">
      <c r="A17" s="8">
        <v>5</v>
      </c>
      <c r="B17" s="7" t="s">
        <v>17</v>
      </c>
      <c r="C17" s="4"/>
      <c r="D17" s="4"/>
      <c r="E17" s="4"/>
      <c r="F17" s="4"/>
      <c r="G17" s="4"/>
    </row>
    <row r="18" spans="1:7" ht="32" customHeight="1" x14ac:dyDescent="0.35">
      <c r="A18" s="8">
        <v>6</v>
      </c>
      <c r="B18" s="7" t="s">
        <v>18</v>
      </c>
      <c r="C18" s="4"/>
      <c r="D18" s="4"/>
      <c r="E18" s="4"/>
      <c r="F18" s="4"/>
      <c r="G18" s="4"/>
    </row>
    <row r="19" spans="1:7" ht="32" customHeight="1" x14ac:dyDescent="0.35">
      <c r="A19" s="8">
        <v>7</v>
      </c>
      <c r="B19" s="7" t="s">
        <v>19</v>
      </c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ht="18.5" x14ac:dyDescent="0.45">
      <c r="A21" s="6" t="s">
        <v>20</v>
      </c>
      <c r="B21" s="4"/>
      <c r="C21" s="4"/>
      <c r="D21" s="4"/>
      <c r="E21" s="4"/>
      <c r="F21" s="4"/>
      <c r="G21" s="4"/>
    </row>
    <row r="22" spans="1:7" x14ac:dyDescent="0.35">
      <c r="A22" s="4" t="s">
        <v>21</v>
      </c>
      <c r="B22" s="4"/>
      <c r="C22" s="4"/>
      <c r="D22" s="4"/>
      <c r="E22" s="4"/>
      <c r="F22" s="4"/>
      <c r="G22" s="4"/>
    </row>
    <row r="23" spans="1:7" ht="28" customHeight="1" x14ac:dyDescent="0.35">
      <c r="A23" s="9" t="s">
        <v>22</v>
      </c>
      <c r="B23" s="4"/>
      <c r="C23" s="4"/>
      <c r="D23" s="4"/>
      <c r="E23" s="4"/>
      <c r="F23" s="4"/>
      <c r="G23" s="4"/>
    </row>
    <row r="24" spans="1:7" x14ac:dyDescent="0.35">
      <c r="A24" s="4"/>
      <c r="B24" s="4"/>
      <c r="C24" s="4"/>
      <c r="D24" s="4"/>
      <c r="E24" s="4"/>
      <c r="F24" s="4"/>
      <c r="G24" s="4"/>
    </row>
    <row r="25" spans="1:7" ht="18.5" x14ac:dyDescent="0.45">
      <c r="A25" s="6" t="s">
        <v>23</v>
      </c>
      <c r="B25" s="4"/>
      <c r="C25" s="4"/>
      <c r="D25" s="4"/>
      <c r="E25" s="4"/>
      <c r="F25" s="4"/>
      <c r="G25" s="4"/>
    </row>
    <row r="26" spans="1:7" x14ac:dyDescent="0.35">
      <c r="A26" s="4" t="s">
        <v>24</v>
      </c>
      <c r="B26" s="4" t="s">
        <v>25</v>
      </c>
      <c r="C26" s="4"/>
      <c r="D26" s="4"/>
      <c r="E26" s="4"/>
      <c r="F26" s="4"/>
      <c r="G26" s="4"/>
    </row>
    <row r="27" spans="1:7" x14ac:dyDescent="0.35">
      <c r="A27" s="4" t="s">
        <v>26</v>
      </c>
      <c r="B27" s="4" t="s">
        <v>27</v>
      </c>
      <c r="C27" s="4"/>
      <c r="D27" s="4"/>
      <c r="E27" s="4"/>
      <c r="F27" s="4"/>
      <c r="G27" s="4"/>
    </row>
    <row r="28" spans="1:7" x14ac:dyDescent="0.35">
      <c r="A28" s="4" t="s">
        <v>28</v>
      </c>
      <c r="B28" s="4" t="s">
        <v>29</v>
      </c>
      <c r="C28" s="4"/>
      <c r="D28" s="4"/>
      <c r="E28" s="4"/>
      <c r="F28" s="4"/>
      <c r="G28" s="4"/>
    </row>
    <row r="29" spans="1:7" x14ac:dyDescent="0.35">
      <c r="A29" s="4" t="s">
        <v>30</v>
      </c>
      <c r="B29" s="4" t="s">
        <v>31</v>
      </c>
      <c r="C29" s="4"/>
      <c r="D29" s="4"/>
      <c r="E29" s="4"/>
      <c r="F29" s="4"/>
      <c r="G29" s="4"/>
    </row>
    <row r="30" spans="1:7" x14ac:dyDescent="0.35">
      <c r="A30" s="4" t="s">
        <v>32</v>
      </c>
      <c r="B30" s="4" t="s">
        <v>33</v>
      </c>
      <c r="C30" s="4"/>
      <c r="D30" s="4"/>
      <c r="E30" s="4"/>
      <c r="F30" s="4"/>
      <c r="G30" s="4"/>
    </row>
    <row r="31" spans="1:7" x14ac:dyDescent="0.35">
      <c r="A31" s="4" t="s">
        <v>34</v>
      </c>
      <c r="B31" s="4" t="s">
        <v>35</v>
      </c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ht="18.5" x14ac:dyDescent="0.45">
      <c r="A33" s="6" t="s">
        <v>36</v>
      </c>
      <c r="B33" s="4"/>
      <c r="C33" s="4"/>
      <c r="D33" s="4"/>
      <c r="E33" s="4"/>
      <c r="F33" s="4"/>
      <c r="G33" s="4"/>
    </row>
    <row r="34" spans="1:7" x14ac:dyDescent="0.35">
      <c r="A34" s="4" t="s">
        <v>37</v>
      </c>
      <c r="B34" s="4" t="s">
        <v>38</v>
      </c>
      <c r="C34" s="4"/>
      <c r="D34" s="4"/>
      <c r="E34" s="4"/>
      <c r="F34" s="4"/>
      <c r="G34" s="4"/>
    </row>
    <row r="35" spans="1:7" x14ac:dyDescent="0.35">
      <c r="A35" s="4" t="s">
        <v>39</v>
      </c>
      <c r="B35" s="4" t="s">
        <v>40</v>
      </c>
      <c r="C35" s="4"/>
      <c r="D35" s="4"/>
      <c r="E35" s="4"/>
      <c r="F35" s="4"/>
      <c r="G35" s="4"/>
    </row>
    <row r="36" spans="1:7" x14ac:dyDescent="0.35">
      <c r="A36" s="4" t="s">
        <v>41</v>
      </c>
      <c r="B36" s="4" t="s">
        <v>42</v>
      </c>
      <c r="C36" s="4"/>
      <c r="D36" s="4"/>
      <c r="E36" s="4"/>
      <c r="F36" s="4"/>
      <c r="G36" s="4"/>
    </row>
    <row r="37" spans="1:7" x14ac:dyDescent="0.35">
      <c r="A37" s="4" t="s">
        <v>43</v>
      </c>
      <c r="B37" s="4" t="s">
        <v>44</v>
      </c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mergeCells count="1">
    <mergeCell ref="A1:G2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6DA5-F246-4BEA-BE91-0FD1B945FE4C}">
  <sheetPr>
    <tabColor rgb="FF2980B9"/>
  </sheetPr>
  <dimension ref="A1:F114"/>
  <sheetViews>
    <sheetView workbookViewId="0">
      <pane ySplit="6" topLeftCell="A40" activePane="bottomLeft" state="frozenSplit"/>
      <selection pane="bottomLeft" activeCell="A49" sqref="A49"/>
    </sheetView>
  </sheetViews>
  <sheetFormatPr baseColWidth="10" defaultRowHeight="14.5" x14ac:dyDescent="0.35"/>
  <cols>
    <col min="1" max="1" width="16.6328125" customWidth="1"/>
    <col min="2" max="3" width="42.6328125" customWidth="1"/>
    <col min="4" max="4" width="16.6328125" customWidth="1"/>
    <col min="5" max="5" width="14.6328125" customWidth="1"/>
    <col min="6" max="6" width="12.6328125" customWidth="1"/>
  </cols>
  <sheetData>
    <row r="1" spans="1:6" ht="23.5" x14ac:dyDescent="0.55000000000000004">
      <c r="A1" s="195" t="s">
        <v>45</v>
      </c>
      <c r="B1" s="195"/>
      <c r="C1" s="195"/>
      <c r="D1" s="195"/>
      <c r="E1" s="195"/>
      <c r="F1" s="195"/>
    </row>
    <row r="2" spans="1:6" x14ac:dyDescent="0.35">
      <c r="A2" s="193" t="s">
        <v>46</v>
      </c>
      <c r="B2" s="193"/>
      <c r="C2" s="193"/>
      <c r="D2" s="193"/>
      <c r="E2" s="193"/>
      <c r="F2" s="193"/>
    </row>
    <row r="3" spans="1:6" x14ac:dyDescent="0.35">
      <c r="A3" s="1"/>
      <c r="B3" s="1"/>
      <c r="C3" s="1"/>
      <c r="D3" s="1"/>
      <c r="E3" s="1"/>
      <c r="F3" s="1"/>
    </row>
    <row r="4" spans="1:6" ht="23.5" x14ac:dyDescent="0.55000000000000004">
      <c r="A4" s="10" t="s">
        <v>47</v>
      </c>
      <c r="B4" s="11">
        <f>COUNTA(tblOpciones[Ruta])</f>
        <v>108</v>
      </c>
    </row>
    <row r="6" spans="1:6" x14ac:dyDescent="0.35">
      <c r="A6" s="12" t="s">
        <v>48</v>
      </c>
      <c r="B6" s="12" t="s">
        <v>49</v>
      </c>
      <c r="C6" s="12" t="s">
        <v>50</v>
      </c>
      <c r="D6" s="12" t="s">
        <v>51</v>
      </c>
      <c r="E6" s="12" t="s">
        <v>52</v>
      </c>
      <c r="F6" s="12" t="s">
        <v>53</v>
      </c>
    </row>
    <row r="7" spans="1:6" x14ac:dyDescent="0.35">
      <c r="A7" s="3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</row>
    <row r="8" spans="1:6" x14ac:dyDescent="0.35">
      <c r="A8" s="13" t="s">
        <v>54</v>
      </c>
      <c r="B8" t="s">
        <v>60</v>
      </c>
      <c r="C8" t="s">
        <v>61</v>
      </c>
      <c r="D8" t="s">
        <v>62</v>
      </c>
      <c r="E8" t="s">
        <v>58</v>
      </c>
      <c r="F8" t="s">
        <v>59</v>
      </c>
    </row>
    <row r="9" spans="1:6" x14ac:dyDescent="0.35">
      <c r="A9" s="3" t="s">
        <v>54</v>
      </c>
      <c r="B9" t="s">
        <v>63</v>
      </c>
      <c r="C9" t="s">
        <v>64</v>
      </c>
      <c r="D9" t="s">
        <v>57</v>
      </c>
      <c r="E9" t="s">
        <v>58</v>
      </c>
      <c r="F9" t="s">
        <v>59</v>
      </c>
    </row>
    <row r="10" spans="1:6" x14ac:dyDescent="0.35">
      <c r="A10" s="13" t="s">
        <v>54</v>
      </c>
      <c r="B10" t="s">
        <v>65</v>
      </c>
      <c r="C10" t="s">
        <v>66</v>
      </c>
      <c r="D10" t="s">
        <v>62</v>
      </c>
      <c r="E10" t="s">
        <v>58</v>
      </c>
      <c r="F10" t="s">
        <v>59</v>
      </c>
    </row>
    <row r="11" spans="1:6" x14ac:dyDescent="0.35">
      <c r="A11" s="3" t="s">
        <v>54</v>
      </c>
      <c r="B11" t="s">
        <v>67</v>
      </c>
      <c r="C11" t="s">
        <v>68</v>
      </c>
      <c r="D11" t="s">
        <v>62</v>
      </c>
      <c r="E11" t="s">
        <v>58</v>
      </c>
      <c r="F11" t="s">
        <v>59</v>
      </c>
    </row>
    <row r="12" spans="1:6" x14ac:dyDescent="0.35">
      <c r="A12" s="13" t="s">
        <v>54</v>
      </c>
      <c r="B12" t="s">
        <v>69</v>
      </c>
      <c r="C12" t="s">
        <v>70</v>
      </c>
      <c r="D12" t="s">
        <v>62</v>
      </c>
      <c r="E12" t="s">
        <v>58</v>
      </c>
      <c r="F12" t="s">
        <v>59</v>
      </c>
    </row>
    <row r="13" spans="1:6" x14ac:dyDescent="0.35">
      <c r="A13" s="3" t="s">
        <v>54</v>
      </c>
      <c r="B13" t="s">
        <v>71</v>
      </c>
      <c r="C13" t="s">
        <v>72</v>
      </c>
      <c r="D13" t="s">
        <v>62</v>
      </c>
      <c r="E13" t="s">
        <v>58</v>
      </c>
      <c r="F13" t="s">
        <v>59</v>
      </c>
    </row>
    <row r="14" spans="1:6" x14ac:dyDescent="0.35">
      <c r="A14" s="13" t="s">
        <v>54</v>
      </c>
      <c r="B14" t="s">
        <v>73</v>
      </c>
      <c r="C14" t="s">
        <v>74</v>
      </c>
      <c r="D14" t="s">
        <v>75</v>
      </c>
      <c r="E14" t="s">
        <v>58</v>
      </c>
      <c r="F14" t="s">
        <v>59</v>
      </c>
    </row>
    <row r="15" spans="1:6" x14ac:dyDescent="0.35">
      <c r="A15" s="3" t="s">
        <v>54</v>
      </c>
      <c r="B15" t="s">
        <v>76</v>
      </c>
      <c r="C15" t="s">
        <v>77</v>
      </c>
      <c r="D15" t="s">
        <v>62</v>
      </c>
      <c r="E15" t="s">
        <v>58</v>
      </c>
      <c r="F15" t="s">
        <v>59</v>
      </c>
    </row>
    <row r="16" spans="1:6" x14ac:dyDescent="0.35">
      <c r="A16" s="13" t="s">
        <v>54</v>
      </c>
      <c r="B16" t="s">
        <v>78</v>
      </c>
      <c r="C16" t="s">
        <v>79</v>
      </c>
      <c r="D16" t="s">
        <v>62</v>
      </c>
      <c r="E16" t="s">
        <v>58</v>
      </c>
      <c r="F16" t="s">
        <v>59</v>
      </c>
    </row>
    <row r="17" spans="1:6" x14ac:dyDescent="0.35">
      <c r="A17" s="3" t="s">
        <v>54</v>
      </c>
      <c r="B17" t="s">
        <v>80</v>
      </c>
      <c r="C17" t="s">
        <v>81</v>
      </c>
      <c r="D17" t="s">
        <v>62</v>
      </c>
      <c r="E17" t="s">
        <v>58</v>
      </c>
      <c r="F17" t="s">
        <v>59</v>
      </c>
    </row>
    <row r="18" spans="1:6" x14ac:dyDescent="0.35">
      <c r="A18" s="13" t="s">
        <v>54</v>
      </c>
      <c r="B18" t="s">
        <v>82</v>
      </c>
      <c r="C18" t="s">
        <v>83</v>
      </c>
      <c r="D18" t="s">
        <v>62</v>
      </c>
      <c r="E18" t="s">
        <v>58</v>
      </c>
      <c r="F18" t="s">
        <v>59</v>
      </c>
    </row>
    <row r="19" spans="1:6" x14ac:dyDescent="0.35">
      <c r="A19" s="3" t="s">
        <v>54</v>
      </c>
      <c r="B19" t="s">
        <v>84</v>
      </c>
      <c r="C19" t="s">
        <v>85</v>
      </c>
      <c r="D19" t="s">
        <v>57</v>
      </c>
      <c r="E19" t="s">
        <v>58</v>
      </c>
      <c r="F19" t="s">
        <v>59</v>
      </c>
    </row>
    <row r="20" spans="1:6" x14ac:dyDescent="0.35">
      <c r="A20" s="13" t="s">
        <v>54</v>
      </c>
      <c r="B20" t="s">
        <v>86</v>
      </c>
      <c r="C20" t="s">
        <v>87</v>
      </c>
      <c r="D20" t="s">
        <v>57</v>
      </c>
      <c r="E20" t="s">
        <v>58</v>
      </c>
      <c r="F20" t="s">
        <v>59</v>
      </c>
    </row>
    <row r="21" spans="1:6" x14ac:dyDescent="0.35">
      <c r="A21" s="3" t="s">
        <v>54</v>
      </c>
      <c r="B21" t="s">
        <v>88</v>
      </c>
      <c r="C21" t="s">
        <v>89</v>
      </c>
      <c r="D21" t="s">
        <v>57</v>
      </c>
      <c r="E21" t="s">
        <v>58</v>
      </c>
      <c r="F21" t="s">
        <v>59</v>
      </c>
    </row>
    <row r="22" spans="1:6" x14ac:dyDescent="0.35">
      <c r="A22" s="13" t="s">
        <v>54</v>
      </c>
      <c r="B22" t="s">
        <v>90</v>
      </c>
      <c r="C22" t="s">
        <v>91</v>
      </c>
      <c r="D22" t="s">
        <v>57</v>
      </c>
      <c r="E22" t="s">
        <v>58</v>
      </c>
      <c r="F22" t="s">
        <v>59</v>
      </c>
    </row>
    <row r="23" spans="1:6" x14ac:dyDescent="0.35">
      <c r="A23" s="3" t="s">
        <v>54</v>
      </c>
      <c r="B23" t="s">
        <v>92</v>
      </c>
      <c r="C23" t="s">
        <v>93</v>
      </c>
      <c r="D23" t="s">
        <v>75</v>
      </c>
      <c r="E23" t="s">
        <v>58</v>
      </c>
      <c r="F23" t="s">
        <v>59</v>
      </c>
    </row>
    <row r="24" spans="1:6" x14ac:dyDescent="0.35">
      <c r="A24" s="13" t="s">
        <v>54</v>
      </c>
      <c r="B24" t="s">
        <v>94</v>
      </c>
      <c r="C24" t="s">
        <v>95</v>
      </c>
      <c r="D24" t="s">
        <v>96</v>
      </c>
      <c r="E24" t="s">
        <v>58</v>
      </c>
      <c r="F24" t="s">
        <v>59</v>
      </c>
    </row>
    <row r="25" spans="1:6" x14ac:dyDescent="0.35">
      <c r="A25" s="3" t="s">
        <v>54</v>
      </c>
      <c r="B25" t="s">
        <v>97</v>
      </c>
      <c r="C25" t="s">
        <v>98</v>
      </c>
      <c r="D25" t="s">
        <v>96</v>
      </c>
      <c r="E25" t="s">
        <v>58</v>
      </c>
      <c r="F25" t="s">
        <v>59</v>
      </c>
    </row>
    <row r="26" spans="1:6" x14ac:dyDescent="0.35">
      <c r="A26" s="13" t="s">
        <v>99</v>
      </c>
      <c r="B26" t="s">
        <v>100</v>
      </c>
      <c r="C26" t="s">
        <v>101</v>
      </c>
      <c r="D26" t="s">
        <v>57</v>
      </c>
      <c r="E26" t="s">
        <v>58</v>
      </c>
      <c r="F26" t="s">
        <v>102</v>
      </c>
    </row>
    <row r="27" spans="1:6" x14ac:dyDescent="0.35">
      <c r="A27" s="3" t="s">
        <v>99</v>
      </c>
      <c r="B27" t="s">
        <v>103</v>
      </c>
      <c r="C27" t="s">
        <v>104</v>
      </c>
      <c r="D27" t="s">
        <v>62</v>
      </c>
      <c r="E27" t="s">
        <v>58</v>
      </c>
      <c r="F27" t="s">
        <v>102</v>
      </c>
    </row>
    <row r="28" spans="1:6" x14ac:dyDescent="0.35">
      <c r="A28" s="13" t="s">
        <v>99</v>
      </c>
      <c r="B28" t="s">
        <v>105</v>
      </c>
      <c r="C28" t="s">
        <v>106</v>
      </c>
      <c r="D28" t="s">
        <v>62</v>
      </c>
      <c r="E28" t="s">
        <v>58</v>
      </c>
      <c r="F28" t="s">
        <v>102</v>
      </c>
    </row>
    <row r="29" spans="1:6" x14ac:dyDescent="0.35">
      <c r="A29" s="3" t="s">
        <v>99</v>
      </c>
      <c r="B29" t="s">
        <v>107</v>
      </c>
      <c r="C29" t="s">
        <v>108</v>
      </c>
      <c r="D29" t="s">
        <v>57</v>
      </c>
      <c r="E29" t="s">
        <v>58</v>
      </c>
      <c r="F29" t="s">
        <v>102</v>
      </c>
    </row>
    <row r="30" spans="1:6" x14ac:dyDescent="0.35">
      <c r="A30" s="13" t="s">
        <v>99</v>
      </c>
      <c r="B30" t="s">
        <v>109</v>
      </c>
      <c r="C30" t="s">
        <v>110</v>
      </c>
      <c r="D30" t="s">
        <v>57</v>
      </c>
      <c r="E30" t="s">
        <v>58</v>
      </c>
      <c r="F30" t="s">
        <v>102</v>
      </c>
    </row>
    <row r="31" spans="1:6" x14ac:dyDescent="0.35">
      <c r="A31" s="3" t="s">
        <v>99</v>
      </c>
      <c r="B31" t="s">
        <v>111</v>
      </c>
      <c r="C31" t="s">
        <v>112</v>
      </c>
      <c r="D31" t="s">
        <v>62</v>
      </c>
      <c r="E31" t="s">
        <v>58</v>
      </c>
      <c r="F31" t="s">
        <v>102</v>
      </c>
    </row>
    <row r="32" spans="1:6" x14ac:dyDescent="0.35">
      <c r="A32" s="13" t="s">
        <v>99</v>
      </c>
      <c r="B32" t="s">
        <v>113</v>
      </c>
      <c r="C32" t="s">
        <v>114</v>
      </c>
      <c r="D32" t="s">
        <v>62</v>
      </c>
      <c r="E32" t="s">
        <v>58</v>
      </c>
      <c r="F32" t="s">
        <v>115</v>
      </c>
    </row>
    <row r="33" spans="1:6" x14ac:dyDescent="0.35">
      <c r="A33" s="3" t="s">
        <v>99</v>
      </c>
      <c r="B33" t="s">
        <v>116</v>
      </c>
      <c r="C33" t="s">
        <v>117</v>
      </c>
      <c r="D33" t="s">
        <v>57</v>
      </c>
      <c r="E33" t="s">
        <v>58</v>
      </c>
      <c r="F33" t="s">
        <v>115</v>
      </c>
    </row>
    <row r="34" spans="1:6" x14ac:dyDescent="0.35">
      <c r="A34" s="13" t="s">
        <v>99</v>
      </c>
      <c r="B34" t="s">
        <v>118</v>
      </c>
      <c r="C34" t="s">
        <v>119</v>
      </c>
      <c r="D34" t="s">
        <v>57</v>
      </c>
      <c r="E34" t="s">
        <v>58</v>
      </c>
      <c r="F34" t="s">
        <v>115</v>
      </c>
    </row>
    <row r="35" spans="1:6" x14ac:dyDescent="0.35">
      <c r="A35" s="3" t="s">
        <v>99</v>
      </c>
      <c r="B35" t="s">
        <v>120</v>
      </c>
      <c r="C35" t="s">
        <v>121</v>
      </c>
      <c r="D35" t="s">
        <v>57</v>
      </c>
      <c r="E35" t="s">
        <v>58</v>
      </c>
      <c r="F35" t="s">
        <v>115</v>
      </c>
    </row>
    <row r="36" spans="1:6" x14ac:dyDescent="0.35">
      <c r="A36" s="13" t="s">
        <v>99</v>
      </c>
      <c r="B36" t="s">
        <v>122</v>
      </c>
      <c r="C36" t="s">
        <v>123</v>
      </c>
      <c r="D36" t="s">
        <v>57</v>
      </c>
      <c r="E36" t="s">
        <v>58</v>
      </c>
      <c r="F36" t="s">
        <v>115</v>
      </c>
    </row>
    <row r="37" spans="1:6" x14ac:dyDescent="0.35">
      <c r="A37" s="3" t="s">
        <v>99</v>
      </c>
      <c r="B37" t="s">
        <v>124</v>
      </c>
      <c r="C37" t="s">
        <v>125</v>
      </c>
      <c r="D37" t="s">
        <v>57</v>
      </c>
      <c r="E37" t="s">
        <v>58</v>
      </c>
      <c r="F37" t="s">
        <v>115</v>
      </c>
    </row>
    <row r="38" spans="1:6" x14ac:dyDescent="0.35">
      <c r="A38" s="13" t="s">
        <v>99</v>
      </c>
      <c r="B38" t="s">
        <v>126</v>
      </c>
      <c r="C38" t="s">
        <v>127</v>
      </c>
      <c r="D38" t="s">
        <v>57</v>
      </c>
      <c r="E38" t="s">
        <v>58</v>
      </c>
      <c r="F38" t="s">
        <v>115</v>
      </c>
    </row>
    <row r="39" spans="1:6" x14ac:dyDescent="0.35">
      <c r="A39" s="3" t="s">
        <v>99</v>
      </c>
      <c r="B39" t="s">
        <v>128</v>
      </c>
      <c r="C39" t="s">
        <v>129</v>
      </c>
      <c r="D39" t="s">
        <v>57</v>
      </c>
      <c r="E39" t="s">
        <v>58</v>
      </c>
      <c r="F39" t="s">
        <v>115</v>
      </c>
    </row>
    <row r="40" spans="1:6" x14ac:dyDescent="0.35">
      <c r="A40" s="13" t="s">
        <v>99</v>
      </c>
      <c r="B40" t="s">
        <v>130</v>
      </c>
      <c r="C40" t="s">
        <v>131</v>
      </c>
      <c r="D40" t="s">
        <v>57</v>
      </c>
      <c r="E40" t="s">
        <v>58</v>
      </c>
      <c r="F40" t="s">
        <v>115</v>
      </c>
    </row>
    <row r="41" spans="1:6" x14ac:dyDescent="0.35">
      <c r="A41" s="3" t="s">
        <v>99</v>
      </c>
      <c r="B41" t="s">
        <v>132</v>
      </c>
      <c r="C41" t="s">
        <v>133</v>
      </c>
      <c r="D41" t="s">
        <v>57</v>
      </c>
      <c r="E41" t="s">
        <v>58</v>
      </c>
      <c r="F41" t="s">
        <v>115</v>
      </c>
    </row>
    <row r="42" spans="1:6" x14ac:dyDescent="0.35">
      <c r="A42" s="13" t="s">
        <v>99</v>
      </c>
      <c r="B42" t="s">
        <v>134</v>
      </c>
      <c r="C42" t="s">
        <v>135</v>
      </c>
      <c r="D42" t="s">
        <v>57</v>
      </c>
      <c r="E42" t="s">
        <v>58</v>
      </c>
      <c r="F42" t="s">
        <v>115</v>
      </c>
    </row>
    <row r="43" spans="1:6" x14ac:dyDescent="0.35">
      <c r="A43" s="3" t="s">
        <v>99</v>
      </c>
      <c r="B43" t="s">
        <v>136</v>
      </c>
      <c r="C43" t="s">
        <v>137</v>
      </c>
      <c r="D43" t="s">
        <v>57</v>
      </c>
      <c r="E43" t="s">
        <v>58</v>
      </c>
      <c r="F43" t="s">
        <v>115</v>
      </c>
    </row>
    <row r="44" spans="1:6" x14ac:dyDescent="0.35">
      <c r="A44" s="13" t="s">
        <v>138</v>
      </c>
      <c r="B44" t="s">
        <v>139</v>
      </c>
      <c r="C44" t="s">
        <v>140</v>
      </c>
      <c r="D44" t="s">
        <v>57</v>
      </c>
      <c r="E44" t="s">
        <v>58</v>
      </c>
      <c r="F44" t="s">
        <v>141</v>
      </c>
    </row>
    <row r="45" spans="1:6" x14ac:dyDescent="0.35">
      <c r="A45" s="3" t="s">
        <v>138</v>
      </c>
      <c r="B45" t="s">
        <v>142</v>
      </c>
      <c r="C45" t="s">
        <v>143</v>
      </c>
      <c r="D45" t="s">
        <v>57</v>
      </c>
      <c r="E45" t="s">
        <v>58</v>
      </c>
      <c r="F45" t="s">
        <v>141</v>
      </c>
    </row>
    <row r="46" spans="1:6" x14ac:dyDescent="0.35">
      <c r="A46" s="13" t="s">
        <v>138</v>
      </c>
      <c r="B46" t="s">
        <v>144</v>
      </c>
      <c r="C46" t="s">
        <v>145</v>
      </c>
      <c r="D46" t="s">
        <v>57</v>
      </c>
      <c r="E46" t="s">
        <v>58</v>
      </c>
      <c r="F46" t="s">
        <v>141</v>
      </c>
    </row>
    <row r="47" spans="1:6" x14ac:dyDescent="0.35">
      <c r="A47" s="3" t="s">
        <v>146</v>
      </c>
      <c r="B47" t="s">
        <v>147</v>
      </c>
      <c r="C47" t="s">
        <v>148</v>
      </c>
      <c r="D47" t="s">
        <v>62</v>
      </c>
      <c r="E47" t="s">
        <v>58</v>
      </c>
      <c r="F47" t="s">
        <v>149</v>
      </c>
    </row>
    <row r="48" spans="1:6" x14ac:dyDescent="0.35">
      <c r="A48" s="13" t="s">
        <v>146</v>
      </c>
      <c r="B48" t="s">
        <v>150</v>
      </c>
      <c r="C48" t="s">
        <v>151</v>
      </c>
      <c r="D48" t="s">
        <v>62</v>
      </c>
      <c r="E48" t="s">
        <v>58</v>
      </c>
      <c r="F48" t="s">
        <v>149</v>
      </c>
    </row>
    <row r="49" spans="1:6" x14ac:dyDescent="0.35">
      <c r="A49" s="3" t="s">
        <v>146</v>
      </c>
      <c r="B49" t="s">
        <v>152</v>
      </c>
      <c r="C49" t="s">
        <v>153</v>
      </c>
      <c r="D49" t="s">
        <v>62</v>
      </c>
      <c r="E49" t="s">
        <v>58</v>
      </c>
      <c r="F49" t="s">
        <v>149</v>
      </c>
    </row>
    <row r="50" spans="1:6" x14ac:dyDescent="0.35">
      <c r="A50" s="13" t="s">
        <v>146</v>
      </c>
      <c r="B50" t="s">
        <v>154</v>
      </c>
      <c r="C50" t="s">
        <v>155</v>
      </c>
      <c r="D50" t="s">
        <v>62</v>
      </c>
      <c r="E50" t="s">
        <v>58</v>
      </c>
      <c r="F50" t="s">
        <v>149</v>
      </c>
    </row>
    <row r="51" spans="1:6" x14ac:dyDescent="0.35">
      <c r="A51" s="3" t="s">
        <v>146</v>
      </c>
      <c r="B51" t="s">
        <v>156</v>
      </c>
      <c r="C51" t="s">
        <v>157</v>
      </c>
      <c r="D51" t="s">
        <v>57</v>
      </c>
      <c r="E51" t="s">
        <v>58</v>
      </c>
      <c r="F51" t="s">
        <v>149</v>
      </c>
    </row>
    <row r="52" spans="1:6" x14ac:dyDescent="0.35">
      <c r="A52" s="13" t="s">
        <v>146</v>
      </c>
      <c r="B52" t="s">
        <v>158</v>
      </c>
      <c r="C52" t="s">
        <v>159</v>
      </c>
      <c r="D52" t="s">
        <v>62</v>
      </c>
      <c r="E52" t="s">
        <v>58</v>
      </c>
      <c r="F52" t="s">
        <v>149</v>
      </c>
    </row>
    <row r="53" spans="1:6" x14ac:dyDescent="0.35">
      <c r="A53" s="3" t="s">
        <v>146</v>
      </c>
      <c r="B53" t="s">
        <v>160</v>
      </c>
      <c r="C53" t="s">
        <v>161</v>
      </c>
      <c r="D53" t="s">
        <v>62</v>
      </c>
      <c r="E53" t="s">
        <v>58</v>
      </c>
      <c r="F53" t="s">
        <v>149</v>
      </c>
    </row>
    <row r="54" spans="1:6" x14ac:dyDescent="0.35">
      <c r="A54" s="13" t="s">
        <v>146</v>
      </c>
      <c r="B54" t="s">
        <v>162</v>
      </c>
      <c r="C54" t="s">
        <v>163</v>
      </c>
      <c r="D54" t="s">
        <v>57</v>
      </c>
      <c r="E54" t="s">
        <v>58</v>
      </c>
      <c r="F54" t="s">
        <v>149</v>
      </c>
    </row>
    <row r="55" spans="1:6" x14ac:dyDescent="0.35">
      <c r="A55" s="3" t="s">
        <v>146</v>
      </c>
      <c r="B55" t="s">
        <v>164</v>
      </c>
      <c r="C55" t="s">
        <v>165</v>
      </c>
      <c r="D55" t="s">
        <v>57</v>
      </c>
      <c r="E55" t="s">
        <v>58</v>
      </c>
      <c r="F55" t="s">
        <v>149</v>
      </c>
    </row>
    <row r="56" spans="1:6" x14ac:dyDescent="0.35">
      <c r="A56" s="13" t="s">
        <v>146</v>
      </c>
      <c r="B56" t="s">
        <v>166</v>
      </c>
      <c r="C56" t="s">
        <v>167</v>
      </c>
      <c r="D56" t="s">
        <v>57</v>
      </c>
      <c r="E56" t="s">
        <v>58</v>
      </c>
      <c r="F56" t="s">
        <v>149</v>
      </c>
    </row>
    <row r="57" spans="1:6" x14ac:dyDescent="0.35">
      <c r="A57" s="3" t="s">
        <v>146</v>
      </c>
      <c r="B57" t="s">
        <v>168</v>
      </c>
      <c r="C57" t="s">
        <v>169</v>
      </c>
      <c r="D57" t="s">
        <v>57</v>
      </c>
      <c r="E57" t="s">
        <v>58</v>
      </c>
      <c r="F57" t="s">
        <v>149</v>
      </c>
    </row>
    <row r="58" spans="1:6" x14ac:dyDescent="0.35">
      <c r="A58" s="13" t="s">
        <v>146</v>
      </c>
      <c r="B58" t="s">
        <v>170</v>
      </c>
      <c r="C58" t="s">
        <v>171</v>
      </c>
      <c r="D58" t="s">
        <v>57</v>
      </c>
      <c r="E58" t="s">
        <v>58</v>
      </c>
      <c r="F58" t="s">
        <v>149</v>
      </c>
    </row>
    <row r="59" spans="1:6" x14ac:dyDescent="0.35">
      <c r="A59" s="3" t="s">
        <v>146</v>
      </c>
      <c r="B59" t="s">
        <v>172</v>
      </c>
      <c r="C59" t="s">
        <v>173</v>
      </c>
      <c r="D59" t="s">
        <v>57</v>
      </c>
      <c r="E59" t="s">
        <v>58</v>
      </c>
      <c r="F59" t="s">
        <v>149</v>
      </c>
    </row>
    <row r="60" spans="1:6" x14ac:dyDescent="0.35">
      <c r="A60" s="13" t="s">
        <v>146</v>
      </c>
      <c r="B60" t="s">
        <v>174</v>
      </c>
      <c r="C60" t="s">
        <v>175</v>
      </c>
      <c r="D60" t="s">
        <v>57</v>
      </c>
      <c r="E60" t="s">
        <v>58</v>
      </c>
      <c r="F60" t="s">
        <v>149</v>
      </c>
    </row>
    <row r="61" spans="1:6" x14ac:dyDescent="0.35">
      <c r="A61" s="3" t="s">
        <v>146</v>
      </c>
      <c r="B61" t="s">
        <v>176</v>
      </c>
      <c r="C61" t="s">
        <v>177</v>
      </c>
      <c r="D61" t="s">
        <v>57</v>
      </c>
      <c r="E61" t="s">
        <v>58</v>
      </c>
      <c r="F61" t="s">
        <v>149</v>
      </c>
    </row>
    <row r="62" spans="1:6" x14ac:dyDescent="0.35">
      <c r="A62" s="13" t="s">
        <v>146</v>
      </c>
      <c r="B62" t="s">
        <v>178</v>
      </c>
      <c r="C62" t="s">
        <v>179</v>
      </c>
      <c r="D62" t="s">
        <v>57</v>
      </c>
      <c r="E62" t="s">
        <v>58</v>
      </c>
      <c r="F62" t="s">
        <v>149</v>
      </c>
    </row>
    <row r="63" spans="1:6" x14ac:dyDescent="0.35">
      <c r="A63" s="3" t="s">
        <v>146</v>
      </c>
      <c r="B63" t="s">
        <v>180</v>
      </c>
      <c r="C63" t="s">
        <v>181</v>
      </c>
      <c r="D63" t="s">
        <v>57</v>
      </c>
      <c r="E63" t="s">
        <v>58</v>
      </c>
      <c r="F63" t="s">
        <v>149</v>
      </c>
    </row>
    <row r="64" spans="1:6" x14ac:dyDescent="0.35">
      <c r="A64" s="13" t="s">
        <v>146</v>
      </c>
      <c r="B64" t="s">
        <v>182</v>
      </c>
      <c r="C64" t="s">
        <v>183</v>
      </c>
      <c r="D64" t="s">
        <v>57</v>
      </c>
      <c r="E64" t="s">
        <v>58</v>
      </c>
      <c r="F64" t="s">
        <v>149</v>
      </c>
    </row>
    <row r="65" spans="1:6" x14ac:dyDescent="0.35">
      <c r="A65" s="3" t="s">
        <v>146</v>
      </c>
      <c r="B65" t="s">
        <v>184</v>
      </c>
      <c r="C65" t="s">
        <v>185</v>
      </c>
      <c r="D65" t="s">
        <v>57</v>
      </c>
      <c r="E65" t="s">
        <v>58</v>
      </c>
      <c r="F65" t="s">
        <v>149</v>
      </c>
    </row>
    <row r="66" spans="1:6" x14ac:dyDescent="0.35">
      <c r="A66" s="13" t="s">
        <v>146</v>
      </c>
      <c r="B66" t="s">
        <v>186</v>
      </c>
      <c r="C66" t="s">
        <v>187</v>
      </c>
      <c r="D66" t="s">
        <v>57</v>
      </c>
      <c r="E66" t="s">
        <v>58</v>
      </c>
      <c r="F66" t="s">
        <v>149</v>
      </c>
    </row>
    <row r="67" spans="1:6" x14ac:dyDescent="0.35">
      <c r="A67" s="3" t="s">
        <v>146</v>
      </c>
      <c r="B67" t="s">
        <v>188</v>
      </c>
      <c r="C67" t="s">
        <v>189</v>
      </c>
      <c r="D67" t="s">
        <v>75</v>
      </c>
      <c r="E67" t="s">
        <v>58</v>
      </c>
      <c r="F67" t="s">
        <v>149</v>
      </c>
    </row>
    <row r="68" spans="1:6" x14ac:dyDescent="0.35">
      <c r="A68" s="13" t="s">
        <v>146</v>
      </c>
      <c r="B68" t="s">
        <v>190</v>
      </c>
      <c r="C68" t="s">
        <v>191</v>
      </c>
      <c r="D68" t="s">
        <v>62</v>
      </c>
      <c r="E68" t="s">
        <v>58</v>
      </c>
      <c r="F68" t="s">
        <v>149</v>
      </c>
    </row>
    <row r="69" spans="1:6" x14ac:dyDescent="0.35">
      <c r="A69" s="3" t="s">
        <v>146</v>
      </c>
      <c r="B69" t="s">
        <v>192</v>
      </c>
      <c r="C69" t="s">
        <v>193</v>
      </c>
      <c r="D69" t="s">
        <v>194</v>
      </c>
      <c r="E69" t="s">
        <v>58</v>
      </c>
      <c r="F69" t="s">
        <v>149</v>
      </c>
    </row>
    <row r="70" spans="1:6" x14ac:dyDescent="0.35">
      <c r="A70" s="13" t="s">
        <v>146</v>
      </c>
      <c r="B70" t="s">
        <v>195</v>
      </c>
      <c r="C70" t="s">
        <v>196</v>
      </c>
      <c r="D70" t="s">
        <v>194</v>
      </c>
      <c r="E70" t="s">
        <v>58</v>
      </c>
      <c r="F70" t="s">
        <v>149</v>
      </c>
    </row>
    <row r="71" spans="1:6" x14ac:dyDescent="0.35">
      <c r="A71" s="3" t="s">
        <v>146</v>
      </c>
      <c r="B71" t="s">
        <v>197</v>
      </c>
      <c r="C71" t="s">
        <v>198</v>
      </c>
      <c r="D71" t="s">
        <v>194</v>
      </c>
      <c r="E71" t="s">
        <v>58</v>
      </c>
      <c r="F71" t="s">
        <v>149</v>
      </c>
    </row>
    <row r="72" spans="1:6" x14ac:dyDescent="0.35">
      <c r="A72" s="13" t="s">
        <v>146</v>
      </c>
      <c r="B72" t="s">
        <v>199</v>
      </c>
      <c r="C72" t="s">
        <v>200</v>
      </c>
      <c r="D72" t="s">
        <v>194</v>
      </c>
      <c r="E72" t="s">
        <v>58</v>
      </c>
      <c r="F72" t="s">
        <v>149</v>
      </c>
    </row>
    <row r="73" spans="1:6" x14ac:dyDescent="0.35">
      <c r="A73" s="3" t="s">
        <v>146</v>
      </c>
      <c r="B73" t="s">
        <v>201</v>
      </c>
      <c r="C73" t="s">
        <v>202</v>
      </c>
      <c r="D73" t="s">
        <v>194</v>
      </c>
      <c r="E73" t="s">
        <v>58</v>
      </c>
      <c r="F73" t="s">
        <v>149</v>
      </c>
    </row>
    <row r="74" spans="1:6" x14ac:dyDescent="0.35">
      <c r="A74" s="13" t="s">
        <v>146</v>
      </c>
      <c r="B74" t="s">
        <v>203</v>
      </c>
      <c r="C74" t="s">
        <v>204</v>
      </c>
      <c r="D74" t="s">
        <v>194</v>
      </c>
      <c r="E74" t="s">
        <v>58</v>
      </c>
      <c r="F74" t="s">
        <v>149</v>
      </c>
    </row>
    <row r="75" spans="1:6" x14ac:dyDescent="0.35">
      <c r="A75" s="3" t="s">
        <v>146</v>
      </c>
      <c r="B75" t="s">
        <v>205</v>
      </c>
      <c r="C75" t="s">
        <v>206</v>
      </c>
      <c r="D75" t="s">
        <v>194</v>
      </c>
      <c r="E75" t="s">
        <v>58</v>
      </c>
      <c r="F75" t="s">
        <v>149</v>
      </c>
    </row>
    <row r="76" spans="1:6" x14ac:dyDescent="0.35">
      <c r="A76" s="13" t="s">
        <v>146</v>
      </c>
      <c r="B76" t="s">
        <v>207</v>
      </c>
      <c r="C76" t="s">
        <v>208</v>
      </c>
      <c r="D76" t="s">
        <v>194</v>
      </c>
      <c r="E76" t="s">
        <v>58</v>
      </c>
      <c r="F76" t="s">
        <v>149</v>
      </c>
    </row>
    <row r="77" spans="1:6" x14ac:dyDescent="0.35">
      <c r="A77" s="3" t="s">
        <v>209</v>
      </c>
      <c r="B77" t="s">
        <v>210</v>
      </c>
      <c r="C77" t="s">
        <v>211</v>
      </c>
      <c r="D77" t="s">
        <v>57</v>
      </c>
      <c r="E77" t="s">
        <v>58</v>
      </c>
      <c r="F77" t="s">
        <v>212</v>
      </c>
    </row>
    <row r="78" spans="1:6" x14ac:dyDescent="0.35">
      <c r="A78" s="13" t="s">
        <v>209</v>
      </c>
      <c r="B78" t="s">
        <v>213</v>
      </c>
      <c r="C78" t="s">
        <v>214</v>
      </c>
      <c r="D78" t="s">
        <v>57</v>
      </c>
      <c r="E78" t="s">
        <v>58</v>
      </c>
      <c r="F78" t="s">
        <v>212</v>
      </c>
    </row>
    <row r="79" spans="1:6" x14ac:dyDescent="0.35">
      <c r="A79" s="3" t="s">
        <v>209</v>
      </c>
      <c r="B79" t="s">
        <v>215</v>
      </c>
      <c r="C79" t="s">
        <v>216</v>
      </c>
      <c r="D79" t="s">
        <v>57</v>
      </c>
      <c r="E79" t="s">
        <v>58</v>
      </c>
      <c r="F79" t="s">
        <v>212</v>
      </c>
    </row>
    <row r="80" spans="1:6" x14ac:dyDescent="0.35">
      <c r="A80" s="13" t="s">
        <v>209</v>
      </c>
      <c r="B80" t="s">
        <v>217</v>
      </c>
      <c r="C80" t="s">
        <v>218</v>
      </c>
      <c r="D80" t="s">
        <v>57</v>
      </c>
      <c r="E80" t="s">
        <v>58</v>
      </c>
      <c r="F80" t="s">
        <v>219</v>
      </c>
    </row>
    <row r="81" spans="1:6" x14ac:dyDescent="0.35">
      <c r="A81" s="3" t="s">
        <v>209</v>
      </c>
      <c r="B81" t="s">
        <v>220</v>
      </c>
      <c r="C81" t="s">
        <v>221</v>
      </c>
      <c r="D81" t="s">
        <v>75</v>
      </c>
      <c r="E81" t="s">
        <v>58</v>
      </c>
      <c r="F81" t="s">
        <v>212</v>
      </c>
    </row>
    <row r="82" spans="1:6" x14ac:dyDescent="0.35">
      <c r="A82" s="13" t="s">
        <v>209</v>
      </c>
      <c r="B82" t="s">
        <v>222</v>
      </c>
      <c r="C82" t="s">
        <v>223</v>
      </c>
      <c r="D82" t="s">
        <v>62</v>
      </c>
      <c r="E82" t="s">
        <v>58</v>
      </c>
      <c r="F82" t="s">
        <v>212</v>
      </c>
    </row>
    <row r="83" spans="1:6" x14ac:dyDescent="0.35">
      <c r="A83" s="3" t="s">
        <v>209</v>
      </c>
      <c r="B83" t="s">
        <v>224</v>
      </c>
      <c r="C83" t="s">
        <v>225</v>
      </c>
      <c r="D83" t="s">
        <v>62</v>
      </c>
      <c r="E83" t="s">
        <v>58</v>
      </c>
      <c r="F83" t="s">
        <v>212</v>
      </c>
    </row>
    <row r="84" spans="1:6" x14ac:dyDescent="0.35">
      <c r="A84" s="13" t="s">
        <v>209</v>
      </c>
      <c r="B84" t="s">
        <v>226</v>
      </c>
      <c r="C84" t="s">
        <v>227</v>
      </c>
      <c r="D84" t="s">
        <v>62</v>
      </c>
      <c r="E84" t="s">
        <v>58</v>
      </c>
      <c r="F84" t="s">
        <v>212</v>
      </c>
    </row>
    <row r="85" spans="1:6" x14ac:dyDescent="0.35">
      <c r="A85" s="3" t="s">
        <v>209</v>
      </c>
      <c r="B85" t="s">
        <v>228</v>
      </c>
      <c r="C85" t="s">
        <v>229</v>
      </c>
      <c r="D85" t="s">
        <v>62</v>
      </c>
      <c r="E85" t="s">
        <v>58</v>
      </c>
      <c r="F85" t="s">
        <v>212</v>
      </c>
    </row>
    <row r="86" spans="1:6" x14ac:dyDescent="0.35">
      <c r="A86" s="13" t="s">
        <v>209</v>
      </c>
      <c r="B86" t="s">
        <v>230</v>
      </c>
      <c r="C86" t="s">
        <v>231</v>
      </c>
      <c r="D86" t="s">
        <v>62</v>
      </c>
      <c r="E86" t="s">
        <v>58</v>
      </c>
      <c r="F86" t="s">
        <v>212</v>
      </c>
    </row>
    <row r="87" spans="1:6" x14ac:dyDescent="0.35">
      <c r="A87" s="3" t="s">
        <v>209</v>
      </c>
      <c r="B87" t="s">
        <v>232</v>
      </c>
      <c r="C87" t="s">
        <v>233</v>
      </c>
      <c r="D87" t="s">
        <v>62</v>
      </c>
      <c r="E87" t="s">
        <v>58</v>
      </c>
      <c r="F87" t="s">
        <v>212</v>
      </c>
    </row>
    <row r="88" spans="1:6" x14ac:dyDescent="0.35">
      <c r="A88" s="13" t="s">
        <v>209</v>
      </c>
      <c r="B88" t="s">
        <v>234</v>
      </c>
      <c r="C88" t="s">
        <v>235</v>
      </c>
      <c r="D88" t="s">
        <v>62</v>
      </c>
      <c r="E88" t="s">
        <v>58</v>
      </c>
      <c r="F88" t="s">
        <v>212</v>
      </c>
    </row>
    <row r="89" spans="1:6" x14ac:dyDescent="0.35">
      <c r="A89" s="3" t="s">
        <v>209</v>
      </c>
      <c r="B89" t="s">
        <v>236</v>
      </c>
      <c r="C89" t="s">
        <v>237</v>
      </c>
      <c r="D89" t="s">
        <v>62</v>
      </c>
      <c r="E89" t="s">
        <v>58</v>
      </c>
      <c r="F89" t="s">
        <v>212</v>
      </c>
    </row>
    <row r="90" spans="1:6" x14ac:dyDescent="0.35">
      <c r="A90" s="13" t="s">
        <v>209</v>
      </c>
      <c r="B90" t="s">
        <v>238</v>
      </c>
      <c r="C90" t="s">
        <v>239</v>
      </c>
      <c r="D90" t="s">
        <v>62</v>
      </c>
      <c r="E90" t="s">
        <v>58</v>
      </c>
      <c r="F90" t="s">
        <v>212</v>
      </c>
    </row>
    <row r="91" spans="1:6" x14ac:dyDescent="0.35">
      <c r="A91" s="3" t="s">
        <v>209</v>
      </c>
      <c r="B91" t="s">
        <v>240</v>
      </c>
      <c r="C91" t="s">
        <v>241</v>
      </c>
      <c r="D91" t="s">
        <v>62</v>
      </c>
      <c r="E91" t="s">
        <v>58</v>
      </c>
      <c r="F91" t="s">
        <v>212</v>
      </c>
    </row>
    <row r="92" spans="1:6" x14ac:dyDescent="0.35">
      <c r="A92" s="13" t="s">
        <v>209</v>
      </c>
      <c r="B92" t="s">
        <v>242</v>
      </c>
      <c r="C92" t="s">
        <v>243</v>
      </c>
      <c r="D92" t="s">
        <v>62</v>
      </c>
      <c r="E92" t="s">
        <v>58</v>
      </c>
      <c r="F92" t="s">
        <v>219</v>
      </c>
    </row>
    <row r="93" spans="1:6" x14ac:dyDescent="0.35">
      <c r="A93" s="3" t="s">
        <v>209</v>
      </c>
      <c r="B93" t="s">
        <v>244</v>
      </c>
      <c r="C93" t="s">
        <v>245</v>
      </c>
      <c r="D93" t="s">
        <v>194</v>
      </c>
      <c r="E93" t="s">
        <v>58</v>
      </c>
      <c r="F93" t="s">
        <v>212</v>
      </c>
    </row>
    <row r="94" spans="1:6" x14ac:dyDescent="0.35">
      <c r="A94" s="13" t="s">
        <v>209</v>
      </c>
      <c r="B94" t="s">
        <v>246</v>
      </c>
      <c r="C94" t="s">
        <v>247</v>
      </c>
      <c r="D94" t="s">
        <v>194</v>
      </c>
      <c r="E94" t="s">
        <v>58</v>
      </c>
      <c r="F94" t="s">
        <v>212</v>
      </c>
    </row>
    <row r="95" spans="1:6" x14ac:dyDescent="0.35">
      <c r="A95" s="3" t="s">
        <v>209</v>
      </c>
      <c r="B95" t="s">
        <v>248</v>
      </c>
      <c r="C95" t="s">
        <v>249</v>
      </c>
      <c r="D95" t="s">
        <v>194</v>
      </c>
      <c r="E95" t="s">
        <v>58</v>
      </c>
      <c r="F95" t="s">
        <v>212</v>
      </c>
    </row>
    <row r="96" spans="1:6" x14ac:dyDescent="0.35">
      <c r="A96" s="13" t="s">
        <v>209</v>
      </c>
      <c r="B96" t="s">
        <v>250</v>
      </c>
      <c r="C96" t="s">
        <v>251</v>
      </c>
      <c r="D96" t="s">
        <v>194</v>
      </c>
      <c r="E96" t="s">
        <v>58</v>
      </c>
      <c r="F96" t="s">
        <v>212</v>
      </c>
    </row>
    <row r="97" spans="1:6" x14ac:dyDescent="0.35">
      <c r="A97" s="3" t="s">
        <v>252</v>
      </c>
      <c r="B97" t="s">
        <v>253</v>
      </c>
      <c r="C97" t="s">
        <v>254</v>
      </c>
      <c r="D97" t="s">
        <v>255</v>
      </c>
      <c r="E97" t="s">
        <v>58</v>
      </c>
    </row>
    <row r="98" spans="1:6" x14ac:dyDescent="0.35">
      <c r="A98" s="13" t="s">
        <v>252</v>
      </c>
      <c r="B98" t="s">
        <v>256</v>
      </c>
      <c r="C98" t="s">
        <v>257</v>
      </c>
      <c r="D98" t="s">
        <v>255</v>
      </c>
      <c r="E98" t="s">
        <v>58</v>
      </c>
    </row>
    <row r="99" spans="1:6" x14ac:dyDescent="0.35">
      <c r="A99" s="3" t="s">
        <v>252</v>
      </c>
      <c r="B99" t="s">
        <v>258</v>
      </c>
      <c r="C99" t="s">
        <v>259</v>
      </c>
      <c r="D99" t="s">
        <v>255</v>
      </c>
      <c r="E99" t="s">
        <v>58</v>
      </c>
    </row>
    <row r="100" spans="1:6" x14ac:dyDescent="0.35">
      <c r="A100" s="13" t="s">
        <v>252</v>
      </c>
      <c r="B100" t="s">
        <v>260</v>
      </c>
      <c r="C100" t="s">
        <v>261</v>
      </c>
      <c r="D100" t="s">
        <v>255</v>
      </c>
      <c r="E100" t="s">
        <v>58</v>
      </c>
    </row>
    <row r="101" spans="1:6" x14ac:dyDescent="0.35">
      <c r="A101" s="3" t="s">
        <v>252</v>
      </c>
      <c r="B101" t="s">
        <v>262</v>
      </c>
      <c r="C101" t="s">
        <v>263</v>
      </c>
      <c r="D101" t="s">
        <v>264</v>
      </c>
      <c r="E101" t="s">
        <v>58</v>
      </c>
      <c r="F101" t="s">
        <v>102</v>
      </c>
    </row>
    <row r="102" spans="1:6" x14ac:dyDescent="0.35">
      <c r="A102" s="13" t="s">
        <v>252</v>
      </c>
      <c r="B102" t="s">
        <v>265</v>
      </c>
      <c r="C102" t="s">
        <v>266</v>
      </c>
      <c r="D102" t="s">
        <v>264</v>
      </c>
      <c r="E102" t="s">
        <v>58</v>
      </c>
      <c r="F102" t="s">
        <v>102</v>
      </c>
    </row>
    <row r="103" spans="1:6" x14ac:dyDescent="0.35">
      <c r="A103" s="3" t="s">
        <v>252</v>
      </c>
      <c r="B103" t="s">
        <v>267</v>
      </c>
      <c r="C103" t="s">
        <v>268</v>
      </c>
      <c r="D103" t="s">
        <v>264</v>
      </c>
      <c r="E103" t="s">
        <v>58</v>
      </c>
      <c r="F103" t="s">
        <v>102</v>
      </c>
    </row>
    <row r="104" spans="1:6" x14ac:dyDescent="0.35">
      <c r="A104" s="13" t="s">
        <v>252</v>
      </c>
      <c r="B104" t="s">
        <v>269</v>
      </c>
      <c r="C104" t="s">
        <v>270</v>
      </c>
      <c r="D104" t="s">
        <v>271</v>
      </c>
      <c r="E104" t="s">
        <v>58</v>
      </c>
    </row>
    <row r="105" spans="1:6" x14ac:dyDescent="0.35">
      <c r="A105" s="3" t="s">
        <v>272</v>
      </c>
      <c r="B105" t="s">
        <v>273</v>
      </c>
      <c r="C105" t="s">
        <v>274</v>
      </c>
      <c r="D105" t="s">
        <v>57</v>
      </c>
      <c r="E105" t="s">
        <v>58</v>
      </c>
    </row>
    <row r="106" spans="1:6" x14ac:dyDescent="0.35">
      <c r="A106" s="13" t="s">
        <v>272</v>
      </c>
      <c r="B106" t="s">
        <v>275</v>
      </c>
      <c r="C106" t="s">
        <v>276</v>
      </c>
      <c r="D106" t="s">
        <v>57</v>
      </c>
      <c r="E106" t="s">
        <v>58</v>
      </c>
    </row>
    <row r="107" spans="1:6" x14ac:dyDescent="0.35">
      <c r="A107" s="3" t="s">
        <v>272</v>
      </c>
      <c r="B107" t="s">
        <v>277</v>
      </c>
      <c r="C107" t="s">
        <v>278</v>
      </c>
      <c r="D107" t="s">
        <v>57</v>
      </c>
      <c r="E107" t="s">
        <v>58</v>
      </c>
    </row>
    <row r="108" spans="1:6" x14ac:dyDescent="0.35">
      <c r="A108" s="13" t="s">
        <v>272</v>
      </c>
      <c r="B108" t="s">
        <v>279</v>
      </c>
      <c r="C108" t="s">
        <v>280</v>
      </c>
      <c r="D108" t="s">
        <v>57</v>
      </c>
      <c r="E108" t="s">
        <v>58</v>
      </c>
    </row>
    <row r="109" spans="1:6" x14ac:dyDescent="0.35">
      <c r="A109" s="3" t="s">
        <v>272</v>
      </c>
      <c r="B109" t="s">
        <v>281</v>
      </c>
      <c r="C109" t="s">
        <v>282</v>
      </c>
      <c r="D109" t="s">
        <v>57</v>
      </c>
      <c r="E109" t="s">
        <v>58</v>
      </c>
    </row>
    <row r="110" spans="1:6" x14ac:dyDescent="0.35">
      <c r="A110" s="13" t="s">
        <v>272</v>
      </c>
      <c r="B110" t="s">
        <v>283</v>
      </c>
      <c r="C110" t="s">
        <v>284</v>
      </c>
      <c r="D110" t="s">
        <v>57</v>
      </c>
      <c r="E110" t="s">
        <v>58</v>
      </c>
    </row>
    <row r="111" spans="1:6" x14ac:dyDescent="0.35">
      <c r="A111" s="3" t="s">
        <v>272</v>
      </c>
      <c r="B111" t="s">
        <v>285</v>
      </c>
      <c r="C111" t="s">
        <v>181</v>
      </c>
      <c r="D111" t="s">
        <v>57</v>
      </c>
      <c r="E111" t="s">
        <v>58</v>
      </c>
    </row>
    <row r="112" spans="1:6" x14ac:dyDescent="0.35">
      <c r="A112" s="13" t="s">
        <v>272</v>
      </c>
      <c r="B112" t="s">
        <v>286</v>
      </c>
      <c r="C112" t="s">
        <v>183</v>
      </c>
      <c r="D112" t="s">
        <v>57</v>
      </c>
      <c r="E112" t="s">
        <v>58</v>
      </c>
    </row>
    <row r="113" spans="1:6" x14ac:dyDescent="0.35">
      <c r="A113" s="3" t="s">
        <v>272</v>
      </c>
      <c r="B113" t="s">
        <v>287</v>
      </c>
      <c r="C113" t="s">
        <v>209</v>
      </c>
      <c r="D113" t="s">
        <v>57</v>
      </c>
      <c r="E113" t="s">
        <v>58</v>
      </c>
    </row>
    <row r="114" spans="1:6" x14ac:dyDescent="0.35">
      <c r="A114" s="13" t="s">
        <v>272</v>
      </c>
      <c r="B114" t="s">
        <v>288</v>
      </c>
      <c r="C114" t="s">
        <v>289</v>
      </c>
      <c r="D114" t="s">
        <v>57</v>
      </c>
      <c r="E114" t="s">
        <v>58</v>
      </c>
      <c r="F114" t="s">
        <v>141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7337-C372-421F-A0D3-3442E67C4382}">
  <sheetPr>
    <tabColor rgb="FF16A085"/>
  </sheetPr>
  <dimension ref="A1:L41"/>
  <sheetViews>
    <sheetView tabSelected="1" topLeftCell="C1" workbookViewId="0">
      <pane ySplit="6" topLeftCell="A7" activePane="bottomLeft" state="frozenSplit"/>
      <selection pane="bottomLeft" activeCell="H8" sqref="H8"/>
    </sheetView>
  </sheetViews>
  <sheetFormatPr baseColWidth="10" defaultRowHeight="14.5" x14ac:dyDescent="0.35"/>
  <cols>
    <col min="1" max="1" width="12.6328125" customWidth="1"/>
    <col min="2" max="2" width="24.6328125" customWidth="1"/>
    <col min="3" max="3" width="28.6328125" customWidth="1"/>
    <col min="4" max="4" width="11.6328125" customWidth="1"/>
    <col min="5" max="5" width="12.6328125" customWidth="1"/>
    <col min="6" max="6" width="62.6328125" customWidth="1"/>
    <col min="7" max="7" width="28.6328125" customWidth="1"/>
    <col min="8" max="8" width="14.6328125" customWidth="1"/>
    <col min="9" max="9" width="11.6328125" customWidth="1"/>
    <col min="10" max="10" width="32.6328125" customWidth="1"/>
    <col min="11" max="11" width="38.6328125" customWidth="1"/>
    <col min="12" max="12" width="42.6328125" customWidth="1"/>
  </cols>
  <sheetData>
    <row r="1" spans="1:12" ht="23.5" x14ac:dyDescent="0.55000000000000004">
      <c r="A1" s="195" t="s">
        <v>290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</row>
    <row r="2" spans="1:12" x14ac:dyDescent="0.35">
      <c r="A2" s="193" t="s">
        <v>291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3.5" x14ac:dyDescent="0.55000000000000004">
      <c r="A4" s="10" t="s">
        <v>292</v>
      </c>
      <c r="B4" s="15">
        <f>IFERROR(AVERAGEIF(tblDRF[TipoReq],"RF",tblDRF[AvanceRF]),0)</f>
        <v>0.39285714285714285</v>
      </c>
      <c r="C4" s="17" t="s">
        <v>37</v>
      </c>
      <c r="D4" s="18">
        <f>COUNTIF(tblDRF[Estado],"Construido")</f>
        <v>10</v>
      </c>
      <c r="E4" s="17" t="s">
        <v>39</v>
      </c>
      <c r="F4" s="19">
        <f>COUNTIF(tblDRF[Estado],"Parcial")</f>
        <v>6</v>
      </c>
      <c r="G4" s="17" t="s">
        <v>41</v>
      </c>
      <c r="H4" s="20">
        <f>COUNTIF(tblDRF[Estado],"No iniciado")</f>
        <v>8</v>
      </c>
      <c r="I4" s="17" t="s">
        <v>43</v>
      </c>
      <c r="J4" s="21">
        <f>COUNTIF(tblDRF[Estado],"Sin DRF")</f>
        <v>11</v>
      </c>
    </row>
    <row r="6" spans="1:12" x14ac:dyDescent="0.35">
      <c r="A6" s="22" t="s">
        <v>53</v>
      </c>
      <c r="B6" s="22" t="s">
        <v>293</v>
      </c>
      <c r="C6" s="22" t="s">
        <v>294</v>
      </c>
      <c r="D6" s="22" t="s">
        <v>295</v>
      </c>
      <c r="E6" s="22" t="s">
        <v>296</v>
      </c>
      <c r="F6" s="22" t="s">
        <v>297</v>
      </c>
      <c r="G6" s="22" t="s">
        <v>298</v>
      </c>
      <c r="H6" s="22" t="s">
        <v>299</v>
      </c>
      <c r="I6" s="22" t="s">
        <v>300</v>
      </c>
      <c r="J6" s="22" t="s">
        <v>301</v>
      </c>
      <c r="K6" s="22" t="s">
        <v>302</v>
      </c>
      <c r="L6" s="22" t="s">
        <v>303</v>
      </c>
    </row>
    <row r="7" spans="1:12" ht="28" customHeight="1" x14ac:dyDescent="0.35">
      <c r="A7" s="16" t="s">
        <v>102</v>
      </c>
      <c r="B7" t="s">
        <v>304</v>
      </c>
      <c r="C7" t="s">
        <v>305</v>
      </c>
      <c r="D7" t="s">
        <v>306</v>
      </c>
      <c r="E7" t="s">
        <v>307</v>
      </c>
      <c r="F7" s="23" t="s">
        <v>308</v>
      </c>
      <c r="G7" t="s">
        <v>309</v>
      </c>
      <c r="H7" t="s">
        <v>37</v>
      </c>
      <c r="I7" s="14">
        <f t="shared" ref="I7:I41" si="0">IF(H7="Construido",1,IF(H7="Parcial",0.5,IF(H7="No iniciado",0,"")))</f>
        <v>1</v>
      </c>
      <c r="J7" t="s">
        <v>103</v>
      </c>
      <c r="K7" s="23" t="s">
        <v>310</v>
      </c>
      <c r="L7" t="s">
        <v>311</v>
      </c>
    </row>
    <row r="8" spans="1:12" ht="28" customHeight="1" x14ac:dyDescent="0.35">
      <c r="A8" s="24" t="s">
        <v>102</v>
      </c>
      <c r="B8" t="s">
        <v>304</v>
      </c>
      <c r="C8" t="s">
        <v>305</v>
      </c>
      <c r="D8" t="s">
        <v>312</v>
      </c>
      <c r="E8" t="s">
        <v>307</v>
      </c>
      <c r="F8" s="23" t="s">
        <v>313</v>
      </c>
      <c r="G8" t="s">
        <v>309</v>
      </c>
      <c r="H8" t="s">
        <v>39</v>
      </c>
      <c r="I8" s="14">
        <f t="shared" si="0"/>
        <v>0.5</v>
      </c>
      <c r="J8" t="s">
        <v>267</v>
      </c>
      <c r="K8" s="23" t="s">
        <v>314</v>
      </c>
      <c r="L8" t="s">
        <v>315</v>
      </c>
    </row>
    <row r="9" spans="1:12" ht="28" customHeight="1" x14ac:dyDescent="0.35">
      <c r="A9" s="16" t="s">
        <v>102</v>
      </c>
      <c r="B9" t="s">
        <v>304</v>
      </c>
      <c r="C9" t="s">
        <v>305</v>
      </c>
      <c r="D9" t="s">
        <v>316</v>
      </c>
      <c r="E9" t="s">
        <v>307</v>
      </c>
      <c r="F9" s="23" t="s">
        <v>317</v>
      </c>
      <c r="G9" t="s">
        <v>309</v>
      </c>
      <c r="H9" t="s">
        <v>39</v>
      </c>
      <c r="I9" s="14">
        <f t="shared" si="0"/>
        <v>0.5</v>
      </c>
      <c r="J9" t="s">
        <v>111</v>
      </c>
      <c r="K9" s="23" t="s">
        <v>318</v>
      </c>
      <c r="L9" t="s">
        <v>319</v>
      </c>
    </row>
    <row r="10" spans="1:12" ht="28" customHeight="1" x14ac:dyDescent="0.35">
      <c r="A10" s="24" t="s">
        <v>102</v>
      </c>
      <c r="B10" t="s">
        <v>304</v>
      </c>
      <c r="C10" t="s">
        <v>305</v>
      </c>
      <c r="D10" t="s">
        <v>320</v>
      </c>
      <c r="E10" t="s">
        <v>307</v>
      </c>
      <c r="F10" s="23" t="s">
        <v>321</v>
      </c>
      <c r="G10" t="s">
        <v>309</v>
      </c>
      <c r="H10" t="s">
        <v>41</v>
      </c>
      <c r="I10" s="14">
        <f t="shared" si="0"/>
        <v>0</v>
      </c>
      <c r="K10" s="23" t="s">
        <v>322</v>
      </c>
      <c r="L10" t="s">
        <v>323</v>
      </c>
    </row>
    <row r="11" spans="1:12" ht="28" customHeight="1" x14ac:dyDescent="0.35">
      <c r="A11" s="16" t="s">
        <v>102</v>
      </c>
      <c r="B11" t="s">
        <v>304</v>
      </c>
      <c r="C11" t="s">
        <v>305</v>
      </c>
      <c r="D11" t="s">
        <v>324</v>
      </c>
      <c r="E11" t="s">
        <v>307</v>
      </c>
      <c r="F11" s="23" t="s">
        <v>325</v>
      </c>
      <c r="G11" t="s">
        <v>309</v>
      </c>
      <c r="H11" t="s">
        <v>41</v>
      </c>
      <c r="I11" s="14">
        <f t="shared" si="0"/>
        <v>0</v>
      </c>
      <c r="K11" s="23" t="s">
        <v>326</v>
      </c>
      <c r="L11" t="s">
        <v>327</v>
      </c>
    </row>
    <row r="12" spans="1:12" ht="28" customHeight="1" x14ac:dyDescent="0.35">
      <c r="A12" s="24" t="s">
        <v>102</v>
      </c>
      <c r="B12" t="s">
        <v>304</v>
      </c>
      <c r="C12" t="s">
        <v>305</v>
      </c>
      <c r="D12" t="s">
        <v>328</v>
      </c>
      <c r="E12" t="s">
        <v>307</v>
      </c>
      <c r="F12" s="23" t="s">
        <v>329</v>
      </c>
      <c r="G12" t="s">
        <v>309</v>
      </c>
      <c r="H12" t="s">
        <v>41</v>
      </c>
      <c r="I12" s="14">
        <f t="shared" si="0"/>
        <v>0</v>
      </c>
      <c r="K12" s="23" t="s">
        <v>326</v>
      </c>
      <c r="L12" t="s">
        <v>327</v>
      </c>
    </row>
    <row r="13" spans="1:12" ht="28" customHeight="1" x14ac:dyDescent="0.35">
      <c r="A13" s="24" t="s">
        <v>102</v>
      </c>
      <c r="B13" t="s">
        <v>304</v>
      </c>
      <c r="C13" t="s">
        <v>305</v>
      </c>
      <c r="D13" t="s">
        <v>331</v>
      </c>
      <c r="E13" t="s">
        <v>307</v>
      </c>
      <c r="F13" s="23" t="s">
        <v>332</v>
      </c>
      <c r="G13" t="s">
        <v>309</v>
      </c>
      <c r="H13" t="s">
        <v>41</v>
      </c>
      <c r="I13" s="14">
        <f t="shared" si="0"/>
        <v>0</v>
      </c>
      <c r="K13" s="23" t="s">
        <v>326</v>
      </c>
      <c r="L13" t="s">
        <v>327</v>
      </c>
    </row>
    <row r="14" spans="1:12" ht="28" customHeight="1" x14ac:dyDescent="0.35">
      <c r="A14" s="16" t="s">
        <v>102</v>
      </c>
      <c r="B14" t="s">
        <v>304</v>
      </c>
      <c r="C14" t="s">
        <v>305</v>
      </c>
      <c r="D14" t="s">
        <v>333</v>
      </c>
      <c r="E14" t="s">
        <v>307</v>
      </c>
      <c r="F14" s="23" t="s">
        <v>334</v>
      </c>
      <c r="G14" t="s">
        <v>309</v>
      </c>
      <c r="H14" t="s">
        <v>41</v>
      </c>
      <c r="I14" s="14">
        <f t="shared" si="0"/>
        <v>0</v>
      </c>
      <c r="K14" s="23" t="s">
        <v>326</v>
      </c>
      <c r="L14" t="s">
        <v>327</v>
      </c>
    </row>
    <row r="15" spans="1:12" ht="28" customHeight="1" x14ac:dyDescent="0.35">
      <c r="A15" s="24" t="s">
        <v>102</v>
      </c>
      <c r="B15" t="s">
        <v>304</v>
      </c>
      <c r="C15" t="s">
        <v>305</v>
      </c>
      <c r="D15" t="s">
        <v>335</v>
      </c>
      <c r="E15" t="s">
        <v>307</v>
      </c>
      <c r="F15" s="23" t="s">
        <v>336</v>
      </c>
      <c r="G15" t="s">
        <v>309</v>
      </c>
      <c r="H15" t="s">
        <v>41</v>
      </c>
      <c r="I15" s="14">
        <f t="shared" si="0"/>
        <v>0</v>
      </c>
      <c r="K15" s="23" t="s">
        <v>326</v>
      </c>
      <c r="L15" t="s">
        <v>327</v>
      </c>
    </row>
    <row r="16" spans="1:12" ht="28" customHeight="1" x14ac:dyDescent="0.35">
      <c r="A16" s="16" t="s">
        <v>102</v>
      </c>
      <c r="B16" t="s">
        <v>304</v>
      </c>
      <c r="C16" t="s">
        <v>305</v>
      </c>
      <c r="D16" t="s">
        <v>337</v>
      </c>
      <c r="E16" t="s">
        <v>338</v>
      </c>
      <c r="F16" s="23" t="s">
        <v>339</v>
      </c>
      <c r="G16" t="s">
        <v>309</v>
      </c>
      <c r="H16" t="s">
        <v>37</v>
      </c>
      <c r="I16" s="14">
        <f t="shared" si="0"/>
        <v>1</v>
      </c>
      <c r="J16" t="s">
        <v>100</v>
      </c>
      <c r="K16" s="23" t="s">
        <v>340</v>
      </c>
      <c r="L16" t="s">
        <v>341</v>
      </c>
    </row>
    <row r="17" spans="1:12" ht="28" customHeight="1" x14ac:dyDescent="0.35">
      <c r="A17" s="24" t="s">
        <v>102</v>
      </c>
      <c r="B17" t="s">
        <v>304</v>
      </c>
      <c r="C17" t="s">
        <v>305</v>
      </c>
      <c r="D17" t="s">
        <v>342</v>
      </c>
      <c r="E17" t="s">
        <v>338</v>
      </c>
      <c r="F17" s="23" t="s">
        <v>343</v>
      </c>
      <c r="G17" t="s">
        <v>309</v>
      </c>
      <c r="H17" t="s">
        <v>37</v>
      </c>
      <c r="I17" s="14">
        <f t="shared" si="0"/>
        <v>1</v>
      </c>
      <c r="J17" t="s">
        <v>109</v>
      </c>
      <c r="K17" s="23" t="s">
        <v>340</v>
      </c>
      <c r="L17" t="s">
        <v>341</v>
      </c>
    </row>
    <row r="18" spans="1:12" ht="28" customHeight="1" x14ac:dyDescent="0.35">
      <c r="A18" s="16" t="s">
        <v>102</v>
      </c>
      <c r="B18" t="s">
        <v>304</v>
      </c>
      <c r="C18" t="s">
        <v>305</v>
      </c>
      <c r="D18" t="s">
        <v>344</v>
      </c>
      <c r="E18" t="s">
        <v>338</v>
      </c>
      <c r="F18" s="23" t="s">
        <v>345</v>
      </c>
      <c r="G18" t="s">
        <v>309</v>
      </c>
      <c r="H18" t="s">
        <v>37</v>
      </c>
      <c r="I18" s="14">
        <f t="shared" si="0"/>
        <v>1</v>
      </c>
      <c r="J18" t="s">
        <v>107</v>
      </c>
      <c r="K18" s="23" t="s">
        <v>340</v>
      </c>
      <c r="L18" t="s">
        <v>341</v>
      </c>
    </row>
    <row r="19" spans="1:12" ht="28" customHeight="1" x14ac:dyDescent="0.35">
      <c r="A19" s="24" t="s">
        <v>102</v>
      </c>
      <c r="B19" t="s">
        <v>304</v>
      </c>
      <c r="C19" t="s">
        <v>305</v>
      </c>
      <c r="D19" t="s">
        <v>346</v>
      </c>
      <c r="E19" t="s">
        <v>338</v>
      </c>
      <c r="F19" s="23" t="s">
        <v>347</v>
      </c>
      <c r="G19" t="s">
        <v>309</v>
      </c>
      <c r="H19" t="s">
        <v>37</v>
      </c>
      <c r="I19" s="14">
        <f t="shared" si="0"/>
        <v>1</v>
      </c>
      <c r="J19" t="s">
        <v>105</v>
      </c>
      <c r="K19" s="23" t="s">
        <v>340</v>
      </c>
      <c r="L19" t="s">
        <v>341</v>
      </c>
    </row>
    <row r="20" spans="1:12" ht="28" hidden="1" customHeight="1" x14ac:dyDescent="0.35">
      <c r="A20" s="16" t="s">
        <v>115</v>
      </c>
      <c r="B20" t="s">
        <v>304</v>
      </c>
      <c r="C20" t="s">
        <v>348</v>
      </c>
      <c r="D20" t="s">
        <v>306</v>
      </c>
      <c r="E20" t="s">
        <v>307</v>
      </c>
      <c r="F20" s="23" t="s">
        <v>349</v>
      </c>
      <c r="G20" t="s">
        <v>350</v>
      </c>
      <c r="H20" t="s">
        <v>37</v>
      </c>
      <c r="I20" s="14">
        <f>IF(H20="Construido",1,IF(H20="Parcial",0.5,IF(H20="No iniciado",0,"")))</f>
        <v>1</v>
      </c>
      <c r="J20" t="s">
        <v>113</v>
      </c>
      <c r="K20" s="23" t="s">
        <v>351</v>
      </c>
      <c r="L20" t="s">
        <v>570</v>
      </c>
    </row>
    <row r="21" spans="1:12" ht="28" hidden="1" customHeight="1" x14ac:dyDescent="0.35">
      <c r="A21" s="24" t="s">
        <v>115</v>
      </c>
      <c r="B21" t="s">
        <v>304</v>
      </c>
      <c r="C21" t="s">
        <v>348</v>
      </c>
      <c r="D21" t="s">
        <v>312</v>
      </c>
      <c r="E21" t="s">
        <v>307</v>
      </c>
      <c r="F21" s="23" t="s">
        <v>352</v>
      </c>
      <c r="G21" t="s">
        <v>350</v>
      </c>
      <c r="H21" t="s">
        <v>39</v>
      </c>
      <c r="I21" s="14">
        <f t="shared" si="0"/>
        <v>0.5</v>
      </c>
      <c r="J21" t="s">
        <v>113</v>
      </c>
      <c r="K21" s="23" t="s">
        <v>353</v>
      </c>
      <c r="L21" t="s">
        <v>571</v>
      </c>
    </row>
    <row r="22" spans="1:12" ht="28" hidden="1" customHeight="1" x14ac:dyDescent="0.35">
      <c r="A22" s="16" t="s">
        <v>115</v>
      </c>
      <c r="B22" t="s">
        <v>304</v>
      </c>
      <c r="C22" t="s">
        <v>348</v>
      </c>
      <c r="D22" t="s">
        <v>316</v>
      </c>
      <c r="E22" t="s">
        <v>307</v>
      </c>
      <c r="F22" s="23" t="s">
        <v>354</v>
      </c>
      <c r="G22" t="s">
        <v>350</v>
      </c>
      <c r="H22" t="s">
        <v>39</v>
      </c>
      <c r="I22" s="14">
        <f t="shared" si="0"/>
        <v>0.5</v>
      </c>
      <c r="J22" t="s">
        <v>113</v>
      </c>
      <c r="K22" s="23" t="s">
        <v>355</v>
      </c>
      <c r="L22" t="s">
        <v>572</v>
      </c>
    </row>
    <row r="23" spans="1:12" ht="28" hidden="1" customHeight="1" x14ac:dyDescent="0.35">
      <c r="A23" s="24" t="s">
        <v>115</v>
      </c>
      <c r="B23" t="s">
        <v>304</v>
      </c>
      <c r="C23" t="s">
        <v>348</v>
      </c>
      <c r="D23" t="s">
        <v>320</v>
      </c>
      <c r="E23" t="s">
        <v>573</v>
      </c>
      <c r="F23" s="23" t="s">
        <v>356</v>
      </c>
      <c r="G23" t="s">
        <v>350</v>
      </c>
      <c r="H23" t="s">
        <v>41</v>
      </c>
      <c r="I23" s="14">
        <f t="shared" si="0"/>
        <v>0</v>
      </c>
      <c r="K23" s="23" t="s">
        <v>357</v>
      </c>
      <c r="L23" t="s">
        <v>574</v>
      </c>
    </row>
    <row r="24" spans="1:12" ht="28" hidden="1" customHeight="1" x14ac:dyDescent="0.35">
      <c r="A24" s="16" t="s">
        <v>115</v>
      </c>
      <c r="B24" t="s">
        <v>304</v>
      </c>
      <c r="C24" t="s">
        <v>348</v>
      </c>
      <c r="D24" t="s">
        <v>324</v>
      </c>
      <c r="E24" t="s">
        <v>307</v>
      </c>
      <c r="F24" s="23" t="s">
        <v>358</v>
      </c>
      <c r="G24" t="s">
        <v>350</v>
      </c>
      <c r="H24" t="s">
        <v>39</v>
      </c>
      <c r="I24" s="14">
        <f t="shared" si="0"/>
        <v>0.5</v>
      </c>
      <c r="J24" t="s">
        <v>113</v>
      </c>
      <c r="K24" s="23" t="s">
        <v>359</v>
      </c>
      <c r="L24" t="s">
        <v>360</v>
      </c>
    </row>
    <row r="25" spans="1:12" ht="28" hidden="1" customHeight="1" x14ac:dyDescent="0.35">
      <c r="A25" s="24" t="s">
        <v>115</v>
      </c>
      <c r="B25" t="s">
        <v>304</v>
      </c>
      <c r="C25" t="s">
        <v>348</v>
      </c>
      <c r="D25" t="s">
        <v>328</v>
      </c>
      <c r="E25" t="s">
        <v>573</v>
      </c>
      <c r="F25" s="23" t="s">
        <v>361</v>
      </c>
      <c r="G25" t="s">
        <v>350</v>
      </c>
      <c r="H25" t="s">
        <v>41</v>
      </c>
      <c r="I25" s="14">
        <f t="shared" si="0"/>
        <v>0</v>
      </c>
      <c r="K25" s="23" t="s">
        <v>362</v>
      </c>
      <c r="L25" t="s">
        <v>575</v>
      </c>
    </row>
    <row r="26" spans="1:12" ht="28" hidden="1" customHeight="1" x14ac:dyDescent="0.35">
      <c r="A26" s="16" t="s">
        <v>115</v>
      </c>
      <c r="B26" t="s">
        <v>304</v>
      </c>
      <c r="C26" t="s">
        <v>348</v>
      </c>
      <c r="D26" t="s">
        <v>330</v>
      </c>
      <c r="E26" t="s">
        <v>307</v>
      </c>
      <c r="F26" s="23" t="s">
        <v>363</v>
      </c>
      <c r="G26" t="s">
        <v>350</v>
      </c>
      <c r="H26" t="s">
        <v>37</v>
      </c>
      <c r="I26" s="14">
        <f t="shared" si="0"/>
        <v>1</v>
      </c>
      <c r="J26" t="s">
        <v>113</v>
      </c>
      <c r="K26" s="23" t="s">
        <v>364</v>
      </c>
      <c r="L26" t="s">
        <v>576</v>
      </c>
    </row>
    <row r="27" spans="1:12" ht="28" hidden="1" customHeight="1" x14ac:dyDescent="0.35">
      <c r="A27" s="24" t="s">
        <v>115</v>
      </c>
      <c r="B27" t="s">
        <v>304</v>
      </c>
      <c r="C27" t="s">
        <v>348</v>
      </c>
      <c r="D27" t="s">
        <v>337</v>
      </c>
      <c r="E27" t="s">
        <v>338</v>
      </c>
      <c r="F27" s="23" t="s">
        <v>365</v>
      </c>
      <c r="G27" t="s">
        <v>350</v>
      </c>
      <c r="H27" t="s">
        <v>37</v>
      </c>
      <c r="I27" s="14">
        <f t="shared" si="0"/>
        <v>1</v>
      </c>
      <c r="J27" t="s">
        <v>116</v>
      </c>
      <c r="K27" s="23" t="s">
        <v>366</v>
      </c>
      <c r="L27" t="s">
        <v>341</v>
      </c>
    </row>
    <row r="28" spans="1:12" ht="28" hidden="1" customHeight="1" x14ac:dyDescent="0.35">
      <c r="A28" s="16" t="s">
        <v>115</v>
      </c>
      <c r="B28" t="s">
        <v>304</v>
      </c>
      <c r="C28" t="s">
        <v>348</v>
      </c>
      <c r="D28" t="s">
        <v>342</v>
      </c>
      <c r="E28" t="s">
        <v>338</v>
      </c>
      <c r="F28" s="23" t="s">
        <v>367</v>
      </c>
      <c r="G28" t="s">
        <v>350</v>
      </c>
      <c r="H28" t="s">
        <v>37</v>
      </c>
      <c r="I28" s="14">
        <f t="shared" si="0"/>
        <v>1</v>
      </c>
      <c r="J28" t="s">
        <v>120</v>
      </c>
      <c r="K28" s="23" t="s">
        <v>368</v>
      </c>
      <c r="L28" t="s">
        <v>369</v>
      </c>
    </row>
    <row r="29" spans="1:12" ht="28" hidden="1" customHeight="1" x14ac:dyDescent="0.35">
      <c r="A29" s="24" t="s">
        <v>115</v>
      </c>
      <c r="B29" t="s">
        <v>304</v>
      </c>
      <c r="C29" t="s">
        <v>348</v>
      </c>
      <c r="D29" t="s">
        <v>344</v>
      </c>
      <c r="E29" t="s">
        <v>338</v>
      </c>
      <c r="F29" s="23" t="s">
        <v>370</v>
      </c>
      <c r="G29" t="s">
        <v>350</v>
      </c>
      <c r="H29" t="s">
        <v>37</v>
      </c>
      <c r="I29" s="14">
        <f t="shared" si="0"/>
        <v>1</v>
      </c>
      <c r="J29" t="s">
        <v>126</v>
      </c>
      <c r="K29" s="23" t="s">
        <v>371</v>
      </c>
      <c r="L29" t="s">
        <v>372</v>
      </c>
    </row>
    <row r="30" spans="1:12" ht="28" hidden="1" customHeight="1" x14ac:dyDescent="0.35">
      <c r="A30" s="16" t="s">
        <v>373</v>
      </c>
      <c r="B30" t="s">
        <v>304</v>
      </c>
      <c r="C30" t="s">
        <v>374</v>
      </c>
      <c r="D30" t="s">
        <v>375</v>
      </c>
      <c r="E30" t="s">
        <v>376</v>
      </c>
      <c r="F30" s="23" t="s">
        <v>377</v>
      </c>
      <c r="G30" t="s">
        <v>327</v>
      </c>
      <c r="H30" t="s">
        <v>39</v>
      </c>
      <c r="I30" s="14">
        <f t="shared" si="0"/>
        <v>0.5</v>
      </c>
      <c r="K30" s="23"/>
      <c r="L30" t="s">
        <v>378</v>
      </c>
    </row>
    <row r="31" spans="1:12" ht="28" hidden="1" customHeight="1" x14ac:dyDescent="0.35">
      <c r="A31" s="24" t="s">
        <v>141</v>
      </c>
      <c r="B31" t="s">
        <v>304</v>
      </c>
      <c r="C31" t="s">
        <v>379</v>
      </c>
      <c r="D31" t="s">
        <v>375</v>
      </c>
      <c r="E31" t="s">
        <v>376</v>
      </c>
      <c r="F31" s="23" t="s">
        <v>377</v>
      </c>
      <c r="G31" t="s">
        <v>327</v>
      </c>
      <c r="H31" t="s">
        <v>43</v>
      </c>
      <c r="I31" s="14" t="str">
        <f t="shared" si="0"/>
        <v/>
      </c>
      <c r="K31" s="23"/>
      <c r="L31" t="s">
        <v>378</v>
      </c>
    </row>
    <row r="32" spans="1:12" ht="28" hidden="1" customHeight="1" x14ac:dyDescent="0.35">
      <c r="A32" s="16" t="s">
        <v>149</v>
      </c>
      <c r="B32" t="s">
        <v>380</v>
      </c>
      <c r="C32" t="s">
        <v>146</v>
      </c>
      <c r="D32" t="s">
        <v>375</v>
      </c>
      <c r="E32" t="s">
        <v>376</v>
      </c>
      <c r="F32" s="23" t="s">
        <v>377</v>
      </c>
      <c r="G32" t="s">
        <v>327</v>
      </c>
      <c r="H32" t="s">
        <v>43</v>
      </c>
      <c r="I32" s="14" t="str">
        <f t="shared" si="0"/>
        <v/>
      </c>
      <c r="K32" s="23"/>
      <c r="L32" t="s">
        <v>378</v>
      </c>
    </row>
    <row r="33" spans="1:12" ht="28" hidden="1" customHeight="1" x14ac:dyDescent="0.35">
      <c r="A33" s="24" t="s">
        <v>212</v>
      </c>
      <c r="B33" t="s">
        <v>380</v>
      </c>
      <c r="C33" t="s">
        <v>381</v>
      </c>
      <c r="D33" t="s">
        <v>375</v>
      </c>
      <c r="E33" t="s">
        <v>376</v>
      </c>
      <c r="F33" s="23" t="s">
        <v>377</v>
      </c>
      <c r="G33" t="s">
        <v>327</v>
      </c>
      <c r="H33" t="s">
        <v>43</v>
      </c>
      <c r="I33" s="14" t="str">
        <f t="shared" si="0"/>
        <v/>
      </c>
      <c r="K33" s="23"/>
      <c r="L33" t="s">
        <v>378</v>
      </c>
    </row>
    <row r="34" spans="1:12" ht="28" hidden="1" customHeight="1" x14ac:dyDescent="0.35">
      <c r="A34" s="16" t="s">
        <v>382</v>
      </c>
      <c r="B34" t="s">
        <v>380</v>
      </c>
      <c r="C34" t="s">
        <v>383</v>
      </c>
      <c r="D34" t="s">
        <v>375</v>
      </c>
      <c r="E34" t="s">
        <v>376</v>
      </c>
      <c r="F34" s="23" t="s">
        <v>377</v>
      </c>
      <c r="G34" t="s">
        <v>327</v>
      </c>
      <c r="H34" t="s">
        <v>43</v>
      </c>
      <c r="I34" s="14" t="str">
        <f t="shared" si="0"/>
        <v/>
      </c>
      <c r="K34" s="23"/>
      <c r="L34" t="s">
        <v>378</v>
      </c>
    </row>
    <row r="35" spans="1:12" ht="28" hidden="1" customHeight="1" x14ac:dyDescent="0.35">
      <c r="A35" s="24" t="s">
        <v>219</v>
      </c>
      <c r="B35" t="s">
        <v>380</v>
      </c>
      <c r="C35" t="s">
        <v>384</v>
      </c>
      <c r="D35" t="s">
        <v>375</v>
      </c>
      <c r="E35" t="s">
        <v>376</v>
      </c>
      <c r="F35" s="23" t="s">
        <v>377</v>
      </c>
      <c r="G35" t="s">
        <v>327</v>
      </c>
      <c r="H35" t="s">
        <v>43</v>
      </c>
      <c r="I35" s="14" t="str">
        <f t="shared" si="0"/>
        <v/>
      </c>
      <c r="K35" s="23"/>
      <c r="L35" t="s">
        <v>378</v>
      </c>
    </row>
    <row r="36" spans="1:12" ht="28" hidden="1" customHeight="1" x14ac:dyDescent="0.35">
      <c r="A36" s="16" t="s">
        <v>385</v>
      </c>
      <c r="B36" t="s">
        <v>386</v>
      </c>
      <c r="C36" t="s">
        <v>387</v>
      </c>
      <c r="D36" t="s">
        <v>375</v>
      </c>
      <c r="E36" t="s">
        <v>376</v>
      </c>
      <c r="F36" s="23" t="s">
        <v>377</v>
      </c>
      <c r="G36" t="s">
        <v>327</v>
      </c>
      <c r="H36" t="s">
        <v>43</v>
      </c>
      <c r="I36" s="14" t="str">
        <f t="shared" si="0"/>
        <v/>
      </c>
      <c r="K36" s="23"/>
      <c r="L36" t="s">
        <v>378</v>
      </c>
    </row>
    <row r="37" spans="1:12" ht="28" hidden="1" customHeight="1" x14ac:dyDescent="0.35">
      <c r="A37" s="24" t="s">
        <v>388</v>
      </c>
      <c r="B37" t="s">
        <v>386</v>
      </c>
      <c r="C37" t="s">
        <v>389</v>
      </c>
      <c r="D37" t="s">
        <v>375</v>
      </c>
      <c r="E37" t="s">
        <v>376</v>
      </c>
      <c r="F37" s="23" t="s">
        <v>377</v>
      </c>
      <c r="G37" t="s">
        <v>327</v>
      </c>
      <c r="H37" t="s">
        <v>43</v>
      </c>
      <c r="I37" s="14" t="str">
        <f t="shared" si="0"/>
        <v/>
      </c>
      <c r="K37" s="23"/>
      <c r="L37" t="s">
        <v>378</v>
      </c>
    </row>
    <row r="38" spans="1:12" ht="28" hidden="1" customHeight="1" x14ac:dyDescent="0.35">
      <c r="A38" s="16" t="s">
        <v>390</v>
      </c>
      <c r="B38" t="s">
        <v>386</v>
      </c>
      <c r="C38" t="s">
        <v>391</v>
      </c>
      <c r="D38" t="s">
        <v>375</v>
      </c>
      <c r="E38" t="s">
        <v>376</v>
      </c>
      <c r="F38" s="23" t="s">
        <v>377</v>
      </c>
      <c r="G38" t="s">
        <v>327</v>
      </c>
      <c r="H38" t="s">
        <v>43</v>
      </c>
      <c r="I38" s="14" t="str">
        <f t="shared" si="0"/>
        <v/>
      </c>
      <c r="K38" s="23"/>
      <c r="L38" t="s">
        <v>378</v>
      </c>
    </row>
    <row r="39" spans="1:12" ht="28" hidden="1" customHeight="1" x14ac:dyDescent="0.35">
      <c r="A39" s="24" t="s">
        <v>392</v>
      </c>
      <c r="B39" t="s">
        <v>386</v>
      </c>
      <c r="C39" t="s">
        <v>393</v>
      </c>
      <c r="D39" t="s">
        <v>375</v>
      </c>
      <c r="E39" t="s">
        <v>376</v>
      </c>
      <c r="F39" s="23" t="s">
        <v>377</v>
      </c>
      <c r="G39" t="s">
        <v>327</v>
      </c>
      <c r="H39" t="s">
        <v>43</v>
      </c>
      <c r="I39" s="14" t="str">
        <f t="shared" si="0"/>
        <v/>
      </c>
      <c r="K39" s="23"/>
      <c r="L39" t="s">
        <v>378</v>
      </c>
    </row>
    <row r="40" spans="1:12" ht="28" hidden="1" customHeight="1" x14ac:dyDescent="0.35">
      <c r="A40" s="16" t="s">
        <v>394</v>
      </c>
      <c r="B40" t="s">
        <v>386</v>
      </c>
      <c r="C40" t="s">
        <v>395</v>
      </c>
      <c r="D40" t="s">
        <v>375</v>
      </c>
      <c r="E40" t="s">
        <v>376</v>
      </c>
      <c r="F40" s="23" t="s">
        <v>377</v>
      </c>
      <c r="G40" t="s">
        <v>327</v>
      </c>
      <c r="H40" t="s">
        <v>43</v>
      </c>
      <c r="I40" s="14" t="str">
        <f t="shared" si="0"/>
        <v/>
      </c>
      <c r="K40" s="23"/>
      <c r="L40" t="s">
        <v>378</v>
      </c>
    </row>
    <row r="41" spans="1:12" ht="28" hidden="1" customHeight="1" x14ac:dyDescent="0.35">
      <c r="A41" s="24" t="s">
        <v>59</v>
      </c>
      <c r="B41" t="s">
        <v>396</v>
      </c>
      <c r="C41" t="s">
        <v>54</v>
      </c>
      <c r="D41" t="s">
        <v>375</v>
      </c>
      <c r="E41" t="s">
        <v>376</v>
      </c>
      <c r="F41" s="23" t="s">
        <v>377</v>
      </c>
      <c r="G41" t="s">
        <v>327</v>
      </c>
      <c r="H41" t="s">
        <v>43</v>
      </c>
      <c r="I41" s="14" t="str">
        <f t="shared" si="0"/>
        <v/>
      </c>
      <c r="K41" s="23"/>
      <c r="L41" t="s">
        <v>397</v>
      </c>
    </row>
  </sheetData>
  <mergeCells count="2">
    <mergeCell ref="A1:L1"/>
    <mergeCell ref="A2:L2"/>
  </mergeCells>
  <conditionalFormatting sqref="H7:H41">
    <cfRule type="cellIs" dxfId="3" priority="1" stopIfTrue="1" operator="equal">
      <formula>"Sin DRF"</formula>
    </cfRule>
    <cfRule type="cellIs" dxfId="2" priority="2" stopIfTrue="1" operator="equal">
      <formula>"No iniciado"</formula>
    </cfRule>
    <cfRule type="cellIs" dxfId="1" priority="3" stopIfTrue="1" operator="equal">
      <formula>"Construido"</formula>
    </cfRule>
    <cfRule type="cellIs" dxfId="0" priority="4" stopIfTrue="1" operator="equal">
      <formula>"Parcial"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01 Dashboard</vt:lpstr>
      <vt:lpstr>02 Backlog</vt:lpstr>
      <vt:lpstr>03 Ciclo de vida</vt:lpstr>
      <vt:lpstr>04 Talento Humano</vt:lpstr>
      <vt:lpstr>05 Contabilidad Finanzas</vt:lpstr>
      <vt:lpstr>06 Academico</vt:lpstr>
      <vt:lpstr>07 Como actualizar</vt:lpstr>
      <vt:lpstr>08 Opciones sistema</vt:lpstr>
      <vt:lpstr>09 DRF cobertura</vt:lpstr>
    </vt:vector>
  </TitlesOfParts>
  <Company>UEES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Avalos</dc:creator>
  <cp:lastModifiedBy>Jonathan Avalos</cp:lastModifiedBy>
  <dcterms:created xsi:type="dcterms:W3CDTF">2026-08-19T21:42:19Z</dcterms:created>
  <dcterms:modified xsi:type="dcterms:W3CDTF">2026-08-19T23:42:01Z</dcterms:modified>
</cp:coreProperties>
</file>