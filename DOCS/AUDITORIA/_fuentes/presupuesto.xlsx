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.avalos\Desktop\COORDINACIÓN SISTEMA UEES\"/>
    </mc:Choice>
  </mc:AlternateContent>
  <xr:revisionPtr revIDLastSave="0" documentId="13_ncr:1_{90706C6E-7673-4D7B-98AA-4953BE525F9F}" xr6:coauthVersionLast="36" xr6:coauthVersionMax="36" xr10:uidLastSave="{00000000-0000-0000-0000-000000000000}"/>
  <bookViews>
    <workbookView xWindow="0" yWindow="0" windowWidth="24000" windowHeight="10110" xr2:uid="{D133A9C4-7A7E-4DEA-9E57-C674484C5167}"/>
  </bookViews>
  <sheets>
    <sheet name="2025-2028" sheetId="1" r:id="rId1"/>
    <sheet name="2026" sheetId="2" r:id="rId2"/>
    <sheet name="2027" sheetId="3" r:id="rId3"/>
    <sheet name="2028" sheetId="4" r:id="rId4"/>
    <sheet name="fase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K23" i="1"/>
  <c r="K22" i="1"/>
  <c r="K21" i="1"/>
  <c r="K19" i="1"/>
  <c r="K18" i="1"/>
  <c r="K17" i="1"/>
  <c r="K16" i="1"/>
  <c r="K15" i="1"/>
  <c r="K12" i="1"/>
  <c r="K11" i="1"/>
  <c r="K10" i="1"/>
  <c r="K9" i="1"/>
  <c r="K8" i="1"/>
  <c r="D24" i="1"/>
  <c r="D29" i="1" l="1"/>
  <c r="D26" i="1" l="1"/>
  <c r="F26" i="1"/>
  <c r="H26" i="1"/>
  <c r="J26" i="1"/>
  <c r="J29" i="1"/>
  <c r="H29" i="1"/>
  <c r="F29" i="1"/>
  <c r="F24" i="1" s="1"/>
  <c r="D27" i="1"/>
  <c r="D28" i="1" s="1"/>
  <c r="J27" i="1"/>
  <c r="J28" i="1" s="1"/>
  <c r="D21" i="1"/>
  <c r="D20" i="1" s="1"/>
  <c r="J20" i="1"/>
  <c r="H20" i="1"/>
  <c r="F20" i="1"/>
  <c r="J13" i="1"/>
  <c r="H13" i="1"/>
  <c r="F13" i="1"/>
  <c r="D13" i="1"/>
  <c r="J7" i="1"/>
  <c r="H7" i="1"/>
  <c r="F7" i="1"/>
  <c r="D7" i="1"/>
  <c r="K20" i="1" l="1"/>
  <c r="J23" i="1"/>
  <c r="J25" i="1" s="1"/>
  <c r="H27" i="1"/>
  <c r="H28" i="1" s="1"/>
  <c r="H23" i="1" s="1"/>
  <c r="H25" i="1" s="1"/>
  <c r="F27" i="1"/>
  <c r="K7" i="1"/>
  <c r="K13" i="1"/>
  <c r="D31" i="4"/>
  <c r="D30" i="4"/>
  <c r="D19" i="4"/>
  <c r="D13" i="4"/>
  <c r="F28" i="1" l="1"/>
  <c r="F23" i="1" s="1"/>
  <c r="F25" i="1" s="1"/>
  <c r="D31" i="3"/>
  <c r="D30" i="3"/>
  <c r="D19" i="3"/>
  <c r="D13" i="3"/>
  <c r="D27" i="2" l="1"/>
  <c r="D16" i="2"/>
  <c r="D11" i="2"/>
  <c r="D28" i="2" s="1"/>
  <c r="K29" i="1" l="1"/>
  <c r="K28" i="1"/>
  <c r="D23" i="1" l="1"/>
  <c r="K24" i="1"/>
  <c r="D25" i="1" l="1"/>
  <c r="K25" i="1" s="1"/>
</calcChain>
</file>

<file path=xl/sharedStrings.xml><?xml version="1.0" encoding="utf-8"?>
<sst xmlns="http://schemas.openxmlformats.org/spreadsheetml/2006/main" count="157" uniqueCount="62">
  <si>
    <t>UNIVERSIDAD EVANGÉLICA DE EL SALVADOR</t>
  </si>
  <si>
    <t>DESARROLLO DE APLICACIÓN</t>
  </si>
  <si>
    <t>RECURSO HUMANO</t>
  </si>
  <si>
    <t>INFRAESTRUCTURA TECNOLÓGICA</t>
  </si>
  <si>
    <t xml:space="preserve">PRESUPUESTO </t>
  </si>
  <si>
    <t>PROYECTO: ANALISIS Y DISEÑO DEL SISTEMA DE GESTIÓN UNIVERSITARIO UEES</t>
  </si>
  <si>
    <t>PERÍODO</t>
  </si>
  <si>
    <t>TIPO DE RECURSO</t>
  </si>
  <si>
    <t>SUB-TOTAL:</t>
  </si>
  <si>
    <t>AÑO: 2025</t>
  </si>
  <si>
    <t>AÑO: 2026</t>
  </si>
  <si>
    <t>DATA WAREHOUSE</t>
  </si>
  <si>
    <t xml:space="preserve">Certificado Digital </t>
  </si>
  <si>
    <t>Inteligencia Artificial integrada al sistema</t>
  </si>
  <si>
    <t>Servidor de Base de datos</t>
  </si>
  <si>
    <r>
      <t xml:space="preserve">Herramientas de Data Warehouse: </t>
    </r>
    <r>
      <rPr>
        <b/>
        <sz val="10"/>
        <color rgb="FF0070C0"/>
        <rFont val="Calibri"/>
        <family val="2"/>
        <scheme val="minor"/>
      </rPr>
      <t xml:space="preserve">Amazon RedShift (RedShift: </t>
    </r>
    <r>
      <rPr>
        <sz val="10"/>
        <color theme="1"/>
        <rFont val="Calibri"/>
        <family val="2"/>
        <scheme val="minor"/>
      </rPr>
      <t>para analizar todo tipo de datos mediante el SQL estándar y herramientas de Business Intelligence).</t>
    </r>
  </si>
  <si>
    <t>Herramienta para Gestion de equipo Scrum. Jira service Management</t>
  </si>
  <si>
    <t>Dbforce Herramientas de gestión de control de base de datos</t>
  </si>
  <si>
    <t>Visual studio Professional 22  6 Licencias</t>
  </si>
  <si>
    <t xml:space="preserve">SQL Server 2022 Enterprise </t>
  </si>
  <si>
    <t xml:space="preserve">Windows Server 2025 Datacenter - 16 Core </t>
  </si>
  <si>
    <t xml:space="preserve">Windows Server 2025 Datacenter - 2 Core </t>
  </si>
  <si>
    <t>ENERO A DICIEMBRE</t>
  </si>
  <si>
    <t>6 Analistas Programadores</t>
  </si>
  <si>
    <t>TOTAL:</t>
  </si>
  <si>
    <t>powerBI 20 Licencias.</t>
  </si>
  <si>
    <t>6 -Licencias de componentes Devexpress para frontend del aplicativo</t>
  </si>
  <si>
    <t>ENERO A DICIEMBRE 2026</t>
  </si>
  <si>
    <t>AÑO: 2027</t>
  </si>
  <si>
    <t>ENERO A DICIEMBRE 2027</t>
  </si>
  <si>
    <t>AÑO: 2028</t>
  </si>
  <si>
    <t>ENERO A DICIEMBRE 2028</t>
  </si>
  <si>
    <t>Fase</t>
  </si>
  <si>
    <t>Actividad</t>
  </si>
  <si>
    <t>F1</t>
  </si>
  <si>
    <t>F2</t>
  </si>
  <si>
    <t>F3</t>
  </si>
  <si>
    <t>F4</t>
  </si>
  <si>
    <t>F5</t>
  </si>
  <si>
    <t>F6</t>
  </si>
  <si>
    <t>Levantamiento de requerimientos por área</t>
  </si>
  <si>
    <t>Diseño y arquitectura técnica</t>
  </si>
  <si>
    <t>Integración de sistema y pruebas</t>
  </si>
  <si>
    <t>Capacitación y migración de datos</t>
  </si>
  <si>
    <t>Implementación y mantenimiento</t>
  </si>
  <si>
    <t>Desarrollo módulos académico, financiero, talento humano</t>
  </si>
  <si>
    <t>6 Analistas Programadores ($1,400 c/u)</t>
  </si>
  <si>
    <t>PRESUPUESTO</t>
  </si>
  <si>
    <t>RECURSO HUMANO PARA LA PROGRAMACIÓN:</t>
  </si>
  <si>
    <t>EQUIPO INFORMÁTICO:</t>
  </si>
  <si>
    <t>DESARROLLO DE APLICACIÓN:</t>
  </si>
  <si>
    <t>INFRAESTRUCTURA TECNOLÓGICA:</t>
  </si>
  <si>
    <t>Inversiones Totales por año proyectado:</t>
  </si>
  <si>
    <t>Mobiliario para equipo de desarrollo contratado para el proyecto</t>
  </si>
  <si>
    <t xml:space="preserve">Inversión total </t>
  </si>
  <si>
    <t>Prestación al  año</t>
  </si>
  <si>
    <t>Pago de Programador por año</t>
  </si>
  <si>
    <t>Pago de Programador mensual</t>
  </si>
  <si>
    <r>
      <t>6 equipos para desarrolladores (</t>
    </r>
    <r>
      <rPr>
        <b/>
        <sz val="20"/>
        <color theme="5" tint="-0.499984740745262"/>
        <rFont val="Calibri"/>
        <family val="2"/>
        <scheme val="minor"/>
      </rPr>
      <t>Genericos</t>
    </r>
    <r>
      <rPr>
        <sz val="20"/>
        <color theme="1"/>
        <rFont val="Calibri"/>
        <family val="2"/>
        <scheme val="minor"/>
      </rPr>
      <t xml:space="preserve"> con alto rendimiento $1000 c/u)</t>
    </r>
  </si>
  <si>
    <r>
      <rPr>
        <b/>
        <sz val="20"/>
        <color rgb="FF0070C0"/>
        <rFont val="Calibri"/>
        <family val="2"/>
        <scheme val="minor"/>
      </rPr>
      <t>DATA WAREHOUSE</t>
    </r>
    <r>
      <rPr>
        <sz val="20"/>
        <color theme="1"/>
        <rFont val="Calibri"/>
        <family val="2"/>
        <scheme val="minor"/>
      </rPr>
      <t xml:space="preserve">
Herramientas de Data Warehouse: </t>
    </r>
    <r>
      <rPr>
        <b/>
        <sz val="20"/>
        <color rgb="FF0070C0"/>
        <rFont val="Calibri"/>
        <family val="2"/>
        <scheme val="minor"/>
      </rPr>
      <t xml:space="preserve">Amazon RedShift (RedShift: </t>
    </r>
    <r>
      <rPr>
        <sz val="20"/>
        <color theme="1"/>
        <rFont val="Calibri"/>
        <family val="2"/>
        <scheme val="minor"/>
      </rPr>
      <t>para analizar todo tipo de datos mediante el SQL estándar y herramientas de Business Intelligence).</t>
    </r>
  </si>
  <si>
    <t>*</t>
  </si>
  <si>
    <t>JUNIO 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</si>
</sst>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5" tint="-0.499984740745262"/>
      <name val="Calibri"/>
      <family val="2"/>
      <scheme val="minor"/>
    </font>
    <font>
      <b/>
      <sz val="20"/>
      <color rgb="FF0070C0"/>
      <name val="Calibri"/>
      <family val="2"/>
      <scheme val="minor"/>
    </font>
    <font>
      <u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hair">
        <color auto="1"/>
      </left>
      <right style="hair">
        <color auto="1"/>
      </right>
      <top style="thin">
        <color rgb="FF00206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hair">
        <color auto="1"/>
      </right>
      <top style="thin">
        <color rgb="FF002060"/>
      </top>
      <bottom style="hair">
        <color auto="1"/>
      </bottom>
      <diagonal/>
    </border>
    <border>
      <left style="medium">
        <color theme="8" tint="-0.2499465926084170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thin">
        <color rgb="FF002060"/>
      </bottom>
      <diagonal/>
    </border>
    <border>
      <left style="medium">
        <color theme="8" tint="-0.24994659260841701"/>
      </left>
      <right style="medium">
        <color theme="0"/>
      </right>
      <top style="medium">
        <color theme="8" tint="-0.24994659260841701"/>
      </top>
      <bottom style="thin">
        <color rgb="FF002060"/>
      </bottom>
      <diagonal/>
    </border>
    <border>
      <left style="medium">
        <color theme="0"/>
      </left>
      <right style="medium">
        <color theme="0"/>
      </right>
      <top style="medium">
        <color theme="8" tint="-0.24994659260841701"/>
      </top>
      <bottom style="thin">
        <color rgb="FF002060"/>
      </bottom>
      <diagonal/>
    </border>
    <border>
      <left style="medium">
        <color theme="0"/>
      </left>
      <right/>
      <top style="medium">
        <color theme="8" tint="-0.24994659260841701"/>
      </top>
      <bottom style="thin">
        <color rgb="FF002060"/>
      </bottom>
      <diagonal/>
    </border>
    <border>
      <left style="hair">
        <color auto="1"/>
      </left>
      <right/>
      <top style="thin">
        <color rgb="FF002060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2060"/>
      </left>
      <right style="medium">
        <color theme="8" tint="-0.24994659260841701"/>
      </right>
      <top style="thin">
        <color rgb="FF002060"/>
      </top>
      <bottom style="hair">
        <color auto="1"/>
      </bottom>
      <diagonal/>
    </border>
    <border>
      <left style="thin">
        <color rgb="FF002060"/>
      </left>
      <right style="medium">
        <color theme="8" tint="-0.24994659260841701"/>
      </right>
      <top style="hair">
        <color auto="1"/>
      </top>
      <bottom style="hair">
        <color auto="1"/>
      </bottom>
      <diagonal/>
    </border>
    <border>
      <left style="medium">
        <color theme="8" tint="-0.24994659260841701"/>
      </left>
      <right style="medium">
        <color theme="0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/>
      </left>
      <right style="medium">
        <color theme="0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0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 style="thin">
        <color rgb="FF002060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2" fillId="4" borderId="0" xfId="0" applyFont="1" applyFill="1" applyAlignment="1">
      <alignment vertical="center"/>
    </xf>
    <xf numFmtId="0" fontId="0" fillId="2" borderId="1" xfId="0" applyFill="1" applyBorder="1"/>
    <xf numFmtId="44" fontId="0" fillId="2" borderId="1" xfId="1" applyFont="1" applyFill="1" applyBorder="1"/>
    <xf numFmtId="0" fontId="2" fillId="2" borderId="1" xfId="0" applyFont="1" applyFill="1" applyBorder="1" applyAlignment="1">
      <alignment horizontal="right"/>
    </xf>
    <xf numFmtId="0" fontId="0" fillId="2" borderId="0" xfId="0" applyFill="1" applyBorder="1"/>
    <xf numFmtId="0" fontId="7" fillId="2" borderId="1" xfId="0" applyFont="1" applyFill="1" applyBorder="1"/>
    <xf numFmtId="0" fontId="2" fillId="2" borderId="0" xfId="0" applyFont="1" applyFill="1" applyBorder="1" applyAlignment="1">
      <alignment horizontal="right"/>
    </xf>
    <xf numFmtId="44" fontId="0" fillId="2" borderId="0" xfId="1" applyFont="1" applyFill="1" applyBorder="1"/>
    <xf numFmtId="0" fontId="0" fillId="2" borderId="1" xfId="0" applyFill="1" applyBorder="1" applyAlignment="1">
      <alignment horizontal="center" vertical="center"/>
    </xf>
    <xf numFmtId="8" fontId="0" fillId="2" borderId="1" xfId="1" applyNumberFormat="1" applyFont="1" applyFill="1" applyBorder="1"/>
    <xf numFmtId="44" fontId="0" fillId="2" borderId="1" xfId="0" applyNumberFormat="1" applyFill="1" applyBorder="1"/>
    <xf numFmtId="17" fontId="0" fillId="2" borderId="1" xfId="0" applyNumberFormat="1" applyFill="1" applyBorder="1" applyAlignment="1">
      <alignment horizontal="center" vertical="center"/>
    </xf>
    <xf numFmtId="6" fontId="0" fillId="2" borderId="1" xfId="1" applyNumberFormat="1" applyFont="1" applyFill="1" applyBorder="1" applyAlignment="1">
      <alignment vertical="center"/>
    </xf>
    <xf numFmtId="0" fontId="0" fillId="0" borderId="3" xfId="0" applyBorder="1"/>
    <xf numFmtId="0" fontId="0" fillId="2" borderId="3" xfId="0" applyFill="1" applyBorder="1"/>
    <xf numFmtId="0" fontId="4" fillId="2" borderId="3" xfId="0" applyFont="1" applyFill="1" applyBorder="1" applyAlignment="1">
      <alignment vertical="top"/>
    </xf>
    <xf numFmtId="0" fontId="0" fillId="0" borderId="4" xfId="0" applyBorder="1"/>
    <xf numFmtId="0" fontId="0" fillId="2" borderId="4" xfId="0" applyFill="1" applyBorder="1"/>
    <xf numFmtId="0" fontId="0" fillId="2" borderId="4" xfId="0" applyFill="1" applyBorder="1" applyAlignment="1"/>
    <xf numFmtId="0" fontId="0" fillId="6" borderId="1" xfId="0" applyFill="1" applyBorder="1"/>
    <xf numFmtId="0" fontId="5" fillId="6" borderId="1" xfId="0" applyFont="1" applyFill="1" applyBorder="1" applyAlignment="1">
      <alignment vertical="top" wrapText="1"/>
    </xf>
    <xf numFmtId="17" fontId="8" fillId="2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0" borderId="0" xfId="0" applyFont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6" fillId="2" borderId="0" xfId="0" applyFont="1" applyFill="1"/>
    <xf numFmtId="0" fontId="16" fillId="0" borderId="0" xfId="0" applyFont="1"/>
    <xf numFmtId="0" fontId="8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6" fontId="8" fillId="2" borderId="0" xfId="0" applyNumberFormat="1" applyFont="1" applyFill="1"/>
    <xf numFmtId="6" fontId="14" fillId="3" borderId="13" xfId="0" applyNumberFormat="1" applyFont="1" applyFill="1" applyBorder="1" applyAlignment="1">
      <alignment horizontal="center" vertical="center"/>
    </xf>
    <xf numFmtId="6" fontId="8" fillId="0" borderId="0" xfId="0" applyNumberFormat="1" applyFont="1"/>
    <xf numFmtId="6" fontId="12" fillId="7" borderId="5" xfId="0" applyNumberFormat="1" applyFont="1" applyFill="1" applyBorder="1" applyAlignment="1">
      <alignment vertical="center"/>
    </xf>
    <xf numFmtId="6" fontId="14" fillId="3" borderId="14" xfId="0" applyNumberFormat="1" applyFont="1" applyFill="1" applyBorder="1" applyAlignment="1">
      <alignment horizontal="center" vertical="center"/>
    </xf>
    <xf numFmtId="6" fontId="14" fillId="3" borderId="11" xfId="0" applyNumberFormat="1" applyFont="1" applyFill="1" applyBorder="1" applyAlignment="1">
      <alignment horizontal="center" vertical="center"/>
    </xf>
    <xf numFmtId="6" fontId="15" fillId="2" borderId="6" xfId="1" applyNumberFormat="1" applyFont="1" applyFill="1" applyBorder="1" applyAlignment="1">
      <alignment vertical="center"/>
    </xf>
    <xf numFmtId="0" fontId="10" fillId="2" borderId="6" xfId="1" applyNumberFormat="1" applyFont="1" applyFill="1" applyBorder="1" applyAlignment="1">
      <alignment horizontal="center" vertical="center"/>
    </xf>
    <xf numFmtId="6" fontId="10" fillId="6" borderId="6" xfId="1" applyNumberFormat="1" applyFont="1" applyFill="1" applyBorder="1" applyAlignment="1">
      <alignment vertical="center"/>
    </xf>
    <xf numFmtId="0" fontId="13" fillId="2" borderId="9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 wrapText="1"/>
    </xf>
    <xf numFmtId="6" fontId="12" fillId="7" borderId="15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6" fontId="15" fillId="2" borderId="16" xfId="1" applyNumberFormat="1" applyFont="1" applyFill="1" applyBorder="1" applyAlignment="1">
      <alignment vertical="center"/>
    </xf>
    <xf numFmtId="6" fontId="15" fillId="2" borderId="17" xfId="1" applyNumberFormat="1" applyFont="1" applyFill="1" applyBorder="1" applyAlignment="1">
      <alignment vertical="center"/>
    </xf>
    <xf numFmtId="6" fontId="20" fillId="7" borderId="18" xfId="0" applyNumberFormat="1" applyFont="1" applyFill="1" applyBorder="1" applyAlignment="1">
      <alignment vertical="center"/>
    </xf>
    <xf numFmtId="6" fontId="15" fillId="2" borderId="19" xfId="1" applyNumberFormat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6" fontId="19" fillId="3" borderId="23" xfId="0" applyNumberFormat="1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 wrapText="1"/>
    </xf>
    <xf numFmtId="6" fontId="18" fillId="3" borderId="21" xfId="0" applyNumberFormat="1" applyFont="1" applyFill="1" applyBorder="1" applyAlignment="1">
      <alignment horizontal="center" vertical="center"/>
    </xf>
    <xf numFmtId="6" fontId="18" fillId="3" borderId="22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6" fontId="23" fillId="2" borderId="19" xfId="1" applyNumberFormat="1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463261</xdr:colOff>
      <xdr:row>0</xdr:row>
      <xdr:rowOff>17318</xdr:rowOff>
    </xdr:from>
    <xdr:to>
      <xdr:col>1</xdr:col>
      <xdr:colOff>2060864</xdr:colOff>
      <xdr:row>4</xdr:row>
      <xdr:rowOff>363214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1F578A-7ADB-43A8-9E13-830DDBF8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261" y="17318"/>
          <a:ext cx="2117148" cy="171403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0</xdr:row>
      <xdr:rowOff>28575</xdr:rowOff>
    </xdr:from>
    <xdr:ext cx="564727" cy="457200"/>
    <xdr:pic>
      <xdr:nvPicPr>
        <xdr:cNvPr id="12" name="Imagen 11">
          <a:extLst>
            <a:ext uri="{FF2B5EF4-FFF2-40B4-BE49-F238E27FC236}">
              <a16:creationId xmlns:a16="http://schemas.microsoft.com/office/drawing/2014/main" id="{09553E58-99EA-426C-AFA6-0FF43D279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9575" y="2857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533400</xdr:colOff>
      <xdr:row>17</xdr:row>
      <xdr:rowOff>95250</xdr:rowOff>
    </xdr:from>
    <xdr:ext cx="564727" cy="457200"/>
    <xdr:pic>
      <xdr:nvPicPr>
        <xdr:cNvPr id="13" name="Imagen 12">
          <a:extLst>
            <a:ext uri="{FF2B5EF4-FFF2-40B4-BE49-F238E27FC236}">
              <a16:creationId xmlns:a16="http://schemas.microsoft.com/office/drawing/2014/main" id="{8A78E62F-50A8-4931-A54C-7CB13F01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808672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0</xdr:row>
      <xdr:rowOff>28575</xdr:rowOff>
    </xdr:from>
    <xdr:ext cx="564727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E8A85798-06E8-42E9-88E2-040F7A1FD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2857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533400</xdr:colOff>
      <xdr:row>20</xdr:row>
      <xdr:rowOff>95250</xdr:rowOff>
    </xdr:from>
    <xdr:ext cx="564727" cy="457200"/>
    <xdr:pic>
      <xdr:nvPicPr>
        <xdr:cNvPr id="3" name="Imagen 2">
          <a:extLst>
            <a:ext uri="{FF2B5EF4-FFF2-40B4-BE49-F238E27FC236}">
              <a16:creationId xmlns:a16="http://schemas.microsoft.com/office/drawing/2014/main" id="{722968BB-BCB8-4696-98B9-1F755F3D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67677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0</xdr:row>
      <xdr:rowOff>28575</xdr:rowOff>
    </xdr:from>
    <xdr:ext cx="564727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8B1ABE8-DC66-45F0-B7D0-58368A143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2857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533400</xdr:colOff>
      <xdr:row>20</xdr:row>
      <xdr:rowOff>95250</xdr:rowOff>
    </xdr:from>
    <xdr:ext cx="564727" cy="457200"/>
    <xdr:pic>
      <xdr:nvPicPr>
        <xdr:cNvPr id="3" name="Imagen 2">
          <a:extLst>
            <a:ext uri="{FF2B5EF4-FFF2-40B4-BE49-F238E27FC236}">
              <a16:creationId xmlns:a16="http://schemas.microsoft.com/office/drawing/2014/main" id="{0CBF9823-43E0-4167-98B0-4EB6A0872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4295775"/>
          <a:ext cx="564727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180690</xdr:colOff>
      <xdr:row>5</xdr:row>
      <xdr:rowOff>28395</xdr:rowOff>
    </xdr:from>
    <xdr:to>
      <xdr:col>5</xdr:col>
      <xdr:colOff>181050</xdr:colOff>
      <xdr:row>5</xdr:row>
      <xdr:rowOff>28755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17DE2A83-458B-4F35-A8EE-3C1BC483BD70}"/>
                </a:ext>
              </a:extLst>
            </xdr14:cNvPr>
            <xdr14:cNvContentPartPr/>
          </xdr14:nvContentPartPr>
          <xdr14:nvPr macro=""/>
          <xdr14:xfrm>
            <a:off x="5876640" y="1257120"/>
            <a:ext cx="360" cy="36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17DE2A83-458B-4F35-A8EE-3C1BC483BD7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68000" y="12481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430609</xdr:colOff>
      <xdr:row>3</xdr:row>
      <xdr:rowOff>38100</xdr:rowOff>
    </xdr:from>
    <xdr:to>
      <xdr:col>5</xdr:col>
      <xdr:colOff>723427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4B58F25-BEFA-4BDE-BA50-4C27A207E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3628" y="660888"/>
          <a:ext cx="292818" cy="269631"/>
        </a:xfrm>
        <a:prstGeom prst="rect">
          <a:avLst/>
        </a:prstGeom>
      </xdr:spPr>
    </xdr:pic>
    <xdr:clientData/>
  </xdr:twoCellAnchor>
  <xdr:twoCellAnchor editAs="oneCell">
    <xdr:from>
      <xdr:col>5</xdr:col>
      <xdr:colOff>430609</xdr:colOff>
      <xdr:row>4</xdr:row>
      <xdr:rowOff>36634</xdr:rowOff>
    </xdr:from>
    <xdr:to>
      <xdr:col>5</xdr:col>
      <xdr:colOff>723427</xdr:colOff>
      <xdr:row>4</xdr:row>
      <xdr:rowOff>306265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7C751C8-784B-4391-A011-A9F087056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23628" y="967153"/>
          <a:ext cx="292818" cy="269631"/>
        </a:xfrm>
        <a:prstGeom prst="rect">
          <a:avLst/>
        </a:prstGeom>
      </xdr:spPr>
    </xdr:pic>
    <xdr:clientData/>
  </xdr:twoCellAnchor>
  <xdr:twoCellAnchor editAs="oneCell">
    <xdr:from>
      <xdr:col>6</xdr:col>
      <xdr:colOff>433233</xdr:colOff>
      <xdr:row>5</xdr:row>
      <xdr:rowOff>16852</xdr:rowOff>
    </xdr:from>
    <xdr:to>
      <xdr:col>6</xdr:col>
      <xdr:colOff>702180</xdr:colOff>
      <xdr:row>5</xdr:row>
      <xdr:rowOff>264502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A1F79EF-52DE-4D52-9235-921107ED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8252" y="1255102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6</xdr:col>
      <xdr:colOff>433233</xdr:colOff>
      <xdr:row>6</xdr:row>
      <xdr:rowOff>20515</xdr:rowOff>
    </xdr:from>
    <xdr:to>
      <xdr:col>6</xdr:col>
      <xdr:colOff>702180</xdr:colOff>
      <xdr:row>6</xdr:row>
      <xdr:rowOff>268165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A12C409-A276-4116-9CDA-A21F96C99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88252" y="1566496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7</xdr:col>
      <xdr:colOff>454269</xdr:colOff>
      <xdr:row>5</xdr:row>
      <xdr:rowOff>16852</xdr:rowOff>
    </xdr:from>
    <xdr:to>
      <xdr:col>7</xdr:col>
      <xdr:colOff>723216</xdr:colOff>
      <xdr:row>5</xdr:row>
      <xdr:rowOff>264502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72C9148-0FC1-4978-88EC-76E64470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1288" y="1255102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7</xdr:col>
      <xdr:colOff>439616</xdr:colOff>
      <xdr:row>6</xdr:row>
      <xdr:rowOff>27842</xdr:rowOff>
    </xdr:from>
    <xdr:to>
      <xdr:col>7</xdr:col>
      <xdr:colOff>708563</xdr:colOff>
      <xdr:row>6</xdr:row>
      <xdr:rowOff>275492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EDF0B10-F313-49E6-8468-7D8E08D3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6635" y="1573823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7</xdr:col>
      <xdr:colOff>445477</xdr:colOff>
      <xdr:row>7</xdr:row>
      <xdr:rowOff>38832</xdr:rowOff>
    </xdr:from>
    <xdr:to>
      <xdr:col>7</xdr:col>
      <xdr:colOff>714424</xdr:colOff>
      <xdr:row>7</xdr:row>
      <xdr:rowOff>286482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3B5A7E7-849B-4C00-AF85-A143F2B7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62496" y="1892544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473320</xdr:colOff>
      <xdr:row>5</xdr:row>
      <xdr:rowOff>16852</xdr:rowOff>
    </xdr:from>
    <xdr:to>
      <xdr:col>8</xdr:col>
      <xdr:colOff>742267</xdr:colOff>
      <xdr:row>5</xdr:row>
      <xdr:rowOff>264502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2943FE9-929F-47CA-958C-AD02D374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2339" y="1255102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465992</xdr:colOff>
      <xdr:row>6</xdr:row>
      <xdr:rowOff>23446</xdr:rowOff>
    </xdr:from>
    <xdr:to>
      <xdr:col>8</xdr:col>
      <xdr:colOff>734939</xdr:colOff>
      <xdr:row>6</xdr:row>
      <xdr:rowOff>271096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104890D-48D2-4386-A966-C499025ED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5011" y="1569427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445477</xdr:colOff>
      <xdr:row>7</xdr:row>
      <xdr:rowOff>30040</xdr:rowOff>
    </xdr:from>
    <xdr:to>
      <xdr:col>8</xdr:col>
      <xdr:colOff>714424</xdr:colOff>
      <xdr:row>7</xdr:row>
      <xdr:rowOff>277690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C92AD55-C6CC-406A-B0F7-A2B7A266C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4496" y="1883752"/>
          <a:ext cx="268947" cy="247650"/>
        </a:xfrm>
        <a:prstGeom prst="rect">
          <a:avLst/>
        </a:prstGeom>
      </xdr:spPr>
    </xdr:pic>
    <xdr:clientData/>
  </xdr:twoCellAnchor>
  <xdr:twoCellAnchor editAs="oneCell">
    <xdr:from>
      <xdr:col>8</xdr:col>
      <xdr:colOff>461596</xdr:colOff>
      <xdr:row>8</xdr:row>
      <xdr:rowOff>36634</xdr:rowOff>
    </xdr:from>
    <xdr:to>
      <xdr:col>8</xdr:col>
      <xdr:colOff>730543</xdr:colOff>
      <xdr:row>8</xdr:row>
      <xdr:rowOff>284284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C82CA0D-DA95-4B04-BBEA-168FC0AA5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40615" y="2198076"/>
          <a:ext cx="268947" cy="24765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5-14T23:58:57.968"/>
    </inkml:context>
    <inkml:brush xml:id="br0">
      <inkml:brushProperty name="width" value="0.05" units="cm"/>
      <inkml:brushProperty name="height" value="0.05" units="cm"/>
      <inkml:brushProperty name="color" value="#008C3A"/>
      <inkml:brushProperty name="ignorePressure" value="1"/>
    </inkml:brush>
  </inkml:definitions>
  <inkml:trace contextRef="#ctx0" brushRef="#br0">1 0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9D781-6249-4B5E-AB96-C036275E6BAE}">
  <dimension ref="A1:Y32"/>
  <sheetViews>
    <sheetView showGridLines="0" tabSelected="1" zoomScale="40" zoomScaleNormal="40" workbookViewId="0">
      <selection activeCell="H16" sqref="H16"/>
    </sheetView>
  </sheetViews>
  <sheetFormatPr baseColWidth="10" defaultRowHeight="21" x14ac:dyDescent="0.35"/>
  <cols>
    <col min="1" max="1" width="7.85546875" style="28" customWidth="1"/>
    <col min="2" max="2" width="110.140625" style="29" customWidth="1"/>
    <col min="3" max="3" width="33.7109375" style="40" customWidth="1"/>
    <col min="4" max="4" width="31.28515625" style="43" customWidth="1"/>
    <col min="5" max="5" width="31.140625" style="40" customWidth="1"/>
    <col min="6" max="6" width="31.28515625" style="43" customWidth="1"/>
    <col min="7" max="7" width="31.7109375" style="40" customWidth="1"/>
    <col min="8" max="8" width="31.28515625" style="43" customWidth="1"/>
    <col min="9" max="9" width="28.85546875" style="42" customWidth="1"/>
    <col min="10" max="10" width="31.28515625" style="45" customWidth="1"/>
    <col min="11" max="11" width="51" style="45" customWidth="1"/>
    <col min="12" max="25" width="11.42578125" style="28"/>
    <col min="26" max="16384" width="11.42578125" style="30"/>
  </cols>
  <sheetData>
    <row r="1" spans="1:25" ht="14.25" customHeight="1" x14ac:dyDescent="0.35">
      <c r="I1" s="40"/>
      <c r="J1" s="43"/>
      <c r="K1" s="43"/>
      <c r="W1" s="30"/>
      <c r="X1" s="30"/>
      <c r="Y1" s="30"/>
    </row>
    <row r="2" spans="1:25" ht="36" x14ac:dyDescent="0.35">
      <c r="B2" s="68" t="s">
        <v>0</v>
      </c>
      <c r="C2" s="68"/>
      <c r="D2" s="68"/>
      <c r="E2" s="68"/>
      <c r="F2" s="68"/>
      <c r="G2" s="68"/>
      <c r="H2" s="68"/>
      <c r="I2" s="68"/>
      <c r="J2" s="68"/>
      <c r="K2" s="28"/>
      <c r="W2" s="30"/>
      <c r="X2" s="30"/>
      <c r="Y2" s="30"/>
    </row>
    <row r="3" spans="1:25" ht="10.5" customHeight="1" x14ac:dyDescent="0.35">
      <c r="I3" s="40"/>
      <c r="J3" s="43"/>
      <c r="K3" s="43"/>
      <c r="W3" s="30"/>
      <c r="X3" s="30"/>
      <c r="Y3" s="30"/>
    </row>
    <row r="4" spans="1:25" ht="47.25" customHeight="1" thickBot="1" x14ac:dyDescent="0.4">
      <c r="B4" s="70" t="s">
        <v>5</v>
      </c>
      <c r="C4" s="70"/>
      <c r="D4" s="70"/>
      <c r="E4" s="70"/>
      <c r="F4" s="70"/>
      <c r="G4" s="70"/>
      <c r="H4" s="70"/>
      <c r="I4" s="70"/>
      <c r="J4" s="70"/>
      <c r="K4" s="28"/>
      <c r="W4" s="30"/>
      <c r="X4" s="30"/>
      <c r="Y4" s="30"/>
    </row>
    <row r="5" spans="1:25" ht="32.25" customHeight="1" thickBot="1" x14ac:dyDescent="0.4">
      <c r="C5" s="69" t="s">
        <v>9</v>
      </c>
      <c r="D5" s="69"/>
      <c r="E5" s="69" t="s">
        <v>10</v>
      </c>
      <c r="F5" s="69"/>
      <c r="G5" s="69" t="s">
        <v>28</v>
      </c>
      <c r="H5" s="69"/>
      <c r="I5" s="69" t="s">
        <v>30</v>
      </c>
      <c r="J5" s="69"/>
      <c r="K5" s="28"/>
      <c r="W5" s="30"/>
      <c r="X5" s="30"/>
      <c r="Y5" s="30"/>
    </row>
    <row r="6" spans="1:25" ht="58.5" customHeight="1" x14ac:dyDescent="0.35">
      <c r="B6" s="33" t="s">
        <v>7</v>
      </c>
      <c r="C6" s="34" t="s">
        <v>6</v>
      </c>
      <c r="D6" s="44" t="s">
        <v>4</v>
      </c>
      <c r="E6" s="34" t="s">
        <v>6</v>
      </c>
      <c r="F6" s="44" t="s">
        <v>47</v>
      </c>
      <c r="G6" s="34" t="s">
        <v>6</v>
      </c>
      <c r="H6" s="44" t="s">
        <v>4</v>
      </c>
      <c r="I6" s="34" t="s">
        <v>6</v>
      </c>
      <c r="J6" s="47" t="s">
        <v>4</v>
      </c>
      <c r="K6" s="48" t="s">
        <v>54</v>
      </c>
      <c r="W6" s="30"/>
      <c r="X6" s="30"/>
      <c r="Y6" s="30"/>
    </row>
    <row r="7" spans="1:25" s="58" customFormat="1" ht="60" customHeight="1" x14ac:dyDescent="0.25">
      <c r="A7" s="54"/>
      <c r="B7" s="55" t="s">
        <v>51</v>
      </c>
      <c r="C7" s="56"/>
      <c r="D7" s="46">
        <f>SUM(D8:D12)</f>
        <v>35736.35</v>
      </c>
      <c r="E7" s="56"/>
      <c r="F7" s="46">
        <f>SUM(F8:F12)</f>
        <v>2000</v>
      </c>
      <c r="G7" s="56"/>
      <c r="H7" s="46">
        <f>SUM(H8:H12)</f>
        <v>8000</v>
      </c>
      <c r="I7" s="56"/>
      <c r="J7" s="57">
        <f>SUM(J9:J12)</f>
        <v>8000</v>
      </c>
      <c r="K7" s="61">
        <f>SUM(C7:J7)</f>
        <v>53736.35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</row>
    <row r="8" spans="1:25" s="32" customFormat="1" ht="28.5" x14ac:dyDescent="0.25">
      <c r="A8" s="31"/>
      <c r="B8" s="52" t="s">
        <v>14</v>
      </c>
      <c r="C8" s="26">
        <v>46022</v>
      </c>
      <c r="D8" s="49">
        <v>30000</v>
      </c>
      <c r="E8" s="49"/>
      <c r="F8" s="49"/>
      <c r="G8" s="49"/>
      <c r="H8" s="49"/>
      <c r="K8" s="62">
        <f>SUM(D8:J8)</f>
        <v>30000</v>
      </c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1:25" s="32" customFormat="1" ht="32.25" customHeight="1" x14ac:dyDescent="0.25">
      <c r="A9" s="31"/>
      <c r="B9" s="52" t="s">
        <v>20</v>
      </c>
      <c r="C9" s="26">
        <v>46022</v>
      </c>
      <c r="D9" s="49">
        <v>2492.88</v>
      </c>
      <c r="E9" s="49"/>
      <c r="F9" s="49"/>
      <c r="G9" s="49"/>
      <c r="H9" s="49"/>
      <c r="I9" s="41"/>
      <c r="J9" s="59"/>
      <c r="K9" s="62">
        <f>SUM(D9:J9)</f>
        <v>2492.88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1:25" s="32" customFormat="1" ht="32.25" customHeight="1" x14ac:dyDescent="0.25">
      <c r="A10" s="31"/>
      <c r="B10" s="52" t="s">
        <v>21</v>
      </c>
      <c r="C10" s="26">
        <v>46022</v>
      </c>
      <c r="D10" s="49">
        <v>1243.47</v>
      </c>
      <c r="E10" s="49"/>
      <c r="F10" s="49"/>
      <c r="G10" s="49"/>
      <c r="H10" s="49"/>
      <c r="I10" s="41"/>
      <c r="J10" s="59"/>
      <c r="K10" s="62">
        <f>SUM(D10:J10)</f>
        <v>1243.47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1:25" s="32" customFormat="1" ht="81.75" customHeight="1" x14ac:dyDescent="0.25">
      <c r="A11" s="31"/>
      <c r="B11" s="53" t="s">
        <v>12</v>
      </c>
      <c r="C11" s="26">
        <v>46022</v>
      </c>
      <c r="D11" s="49">
        <v>2000</v>
      </c>
      <c r="E11" s="27" t="s">
        <v>27</v>
      </c>
      <c r="F11" s="49">
        <v>2000</v>
      </c>
      <c r="G11" s="27" t="s">
        <v>29</v>
      </c>
      <c r="H11" s="49">
        <v>2000</v>
      </c>
      <c r="I11" s="27" t="s">
        <v>31</v>
      </c>
      <c r="J11" s="59">
        <v>2000</v>
      </c>
      <c r="K11" s="62">
        <f>SUM(D11:J11)</f>
        <v>8000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5" s="32" customFormat="1" ht="127.5" customHeight="1" x14ac:dyDescent="0.25">
      <c r="A12" s="31"/>
      <c r="B12" s="53" t="s">
        <v>59</v>
      </c>
      <c r="C12" s="26"/>
      <c r="D12" s="49"/>
      <c r="E12" s="27"/>
      <c r="F12" s="49"/>
      <c r="G12" s="26">
        <v>46722</v>
      </c>
      <c r="H12" s="49">
        <v>6000</v>
      </c>
      <c r="I12" s="26">
        <v>47088</v>
      </c>
      <c r="J12" s="59">
        <v>6000</v>
      </c>
      <c r="K12" s="62">
        <f>SUM(H12,J12)</f>
        <v>12000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5" s="58" customFormat="1" ht="60" customHeight="1" x14ac:dyDescent="0.25">
      <c r="A13" s="54"/>
      <c r="B13" s="55" t="s">
        <v>50</v>
      </c>
      <c r="C13" s="56"/>
      <c r="D13" s="46">
        <f>SUM(D14:D19)</f>
        <v>67259.040000000008</v>
      </c>
      <c r="E13" s="56"/>
      <c r="F13" s="46">
        <f>SUM(F14:F19)</f>
        <v>5289</v>
      </c>
      <c r="G13" s="56"/>
      <c r="H13" s="46">
        <f>SUM(H14:H19)</f>
        <v>5289</v>
      </c>
      <c r="I13" s="56"/>
      <c r="J13" s="57">
        <f>SUM(J14:J19)</f>
        <v>5289</v>
      </c>
      <c r="K13" s="61">
        <f t="shared" ref="K8:K24" si="0">SUM(C13:J13)</f>
        <v>83126.040000000008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5" s="32" customFormat="1" ht="75.75" customHeight="1" x14ac:dyDescent="0.25">
      <c r="A14" s="31"/>
      <c r="B14" s="53" t="s">
        <v>16</v>
      </c>
      <c r="C14" s="26">
        <v>46022</v>
      </c>
      <c r="D14" s="49">
        <v>2399.04</v>
      </c>
      <c r="E14" s="27" t="s">
        <v>27</v>
      </c>
      <c r="F14" s="49">
        <v>3389</v>
      </c>
      <c r="G14" s="27" t="s">
        <v>29</v>
      </c>
      <c r="H14" s="49">
        <v>3389</v>
      </c>
      <c r="I14" s="27" t="s">
        <v>31</v>
      </c>
      <c r="J14" s="59">
        <v>3389</v>
      </c>
      <c r="K14" s="62">
        <f>SUM(D14,F14,H14,J14)</f>
        <v>12566.04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5" s="32" customFormat="1" ht="49.5" customHeight="1" x14ac:dyDescent="0.25">
      <c r="A15" s="31"/>
      <c r="B15" s="53" t="s">
        <v>17</v>
      </c>
      <c r="C15" s="26">
        <v>46022</v>
      </c>
      <c r="D15" s="49">
        <v>1200</v>
      </c>
      <c r="E15" s="27" t="s">
        <v>27</v>
      </c>
      <c r="F15" s="49">
        <v>1200</v>
      </c>
      <c r="G15" s="27" t="s">
        <v>29</v>
      </c>
      <c r="H15" s="49">
        <v>1200</v>
      </c>
      <c r="I15" s="27" t="s">
        <v>31</v>
      </c>
      <c r="J15" s="59">
        <v>1200</v>
      </c>
      <c r="K15" s="62">
        <f>SUM(D15,F15,H15,J15)</f>
        <v>4800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1:25" s="32" customFormat="1" ht="64.5" customHeight="1" x14ac:dyDescent="0.25">
      <c r="A16" s="31"/>
      <c r="B16" s="53" t="s">
        <v>26</v>
      </c>
      <c r="C16" s="26">
        <v>46022</v>
      </c>
      <c r="D16" s="49">
        <v>6000</v>
      </c>
      <c r="E16" s="27"/>
      <c r="F16" s="49"/>
      <c r="G16" s="27"/>
      <c r="H16" s="49"/>
      <c r="I16" s="41"/>
      <c r="J16" s="59"/>
      <c r="K16" s="62">
        <f>SUM(D16)</f>
        <v>6000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1:22" s="32" customFormat="1" ht="35.25" customHeight="1" x14ac:dyDescent="0.25">
      <c r="A17" s="31"/>
      <c r="B17" s="52" t="s">
        <v>18</v>
      </c>
      <c r="C17" s="26">
        <v>46022</v>
      </c>
      <c r="D17" s="49">
        <v>660</v>
      </c>
      <c r="E17" s="27"/>
      <c r="F17" s="49"/>
      <c r="G17" s="27"/>
      <c r="H17" s="49"/>
      <c r="I17" s="41"/>
      <c r="J17" s="59"/>
      <c r="K17" s="74">
        <f>SUM(D17)</f>
        <v>660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1:22" s="32" customFormat="1" ht="35.25" customHeight="1" x14ac:dyDescent="0.25">
      <c r="A18" s="31"/>
      <c r="B18" s="52" t="s">
        <v>19</v>
      </c>
      <c r="C18" s="26">
        <v>46022</v>
      </c>
      <c r="D18" s="49">
        <v>57000</v>
      </c>
      <c r="E18" s="27"/>
      <c r="F18" s="49"/>
      <c r="G18" s="27"/>
      <c r="H18" s="49"/>
      <c r="I18" s="41"/>
      <c r="J18" s="59"/>
      <c r="K18" s="62">
        <f>SUM(D18)</f>
        <v>57000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1:22" s="32" customFormat="1" ht="35.25" customHeight="1" x14ac:dyDescent="0.25">
      <c r="A19" s="31"/>
      <c r="B19" s="53" t="s">
        <v>25</v>
      </c>
      <c r="C19" s="26"/>
      <c r="D19" s="49"/>
      <c r="E19" s="26">
        <v>46357</v>
      </c>
      <c r="F19" s="49">
        <v>700</v>
      </c>
      <c r="G19" s="26">
        <v>46722</v>
      </c>
      <c r="H19" s="49">
        <v>700</v>
      </c>
      <c r="I19" s="26">
        <v>47088</v>
      </c>
      <c r="J19" s="59">
        <v>700</v>
      </c>
      <c r="K19" s="62">
        <f>SUM(F19,H19,J19)</f>
        <v>2100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22" s="58" customFormat="1" ht="60" customHeight="1" x14ac:dyDescent="0.25">
      <c r="A20" s="54"/>
      <c r="B20" s="55" t="s">
        <v>49</v>
      </c>
      <c r="C20" s="56"/>
      <c r="D20" s="46">
        <f>SUM(D21:D22)</f>
        <v>9000</v>
      </c>
      <c r="E20" s="56"/>
      <c r="F20" s="46">
        <f>SUM(F21:F22)</f>
        <v>0</v>
      </c>
      <c r="G20" s="56"/>
      <c r="H20" s="46">
        <f>SUM(H21:H22)</f>
        <v>0</v>
      </c>
      <c r="I20" s="56"/>
      <c r="J20" s="57">
        <f>SUM(J21:J22)</f>
        <v>0</v>
      </c>
      <c r="K20" s="61">
        <f t="shared" si="0"/>
        <v>9000</v>
      </c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</row>
    <row r="21" spans="1:22" s="32" customFormat="1" ht="76.5" customHeight="1" x14ac:dyDescent="0.25">
      <c r="A21" s="31"/>
      <c r="B21" s="52" t="s">
        <v>58</v>
      </c>
      <c r="C21" s="26">
        <v>46022</v>
      </c>
      <c r="D21" s="49">
        <f>1000*6</f>
        <v>6000</v>
      </c>
      <c r="E21" s="49"/>
      <c r="F21" s="49"/>
      <c r="G21" s="49"/>
      <c r="H21" s="49"/>
      <c r="I21" s="49"/>
      <c r="J21" s="59"/>
      <c r="K21" s="62">
        <f>SUM(D21)</f>
        <v>6000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1:22" s="32" customFormat="1" ht="75" customHeight="1" x14ac:dyDescent="0.25">
      <c r="A22" s="31"/>
      <c r="B22" s="52" t="s">
        <v>53</v>
      </c>
      <c r="C22" s="26">
        <v>46022</v>
      </c>
      <c r="D22" s="49">
        <v>3000</v>
      </c>
      <c r="E22" s="49"/>
      <c r="F22" s="49"/>
      <c r="G22" s="49"/>
      <c r="H22" s="49"/>
      <c r="I22" s="49"/>
      <c r="J22" s="59"/>
      <c r="K22" s="62">
        <f>SUM(D22)</f>
        <v>3000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22" s="58" customFormat="1" ht="60" customHeight="1" x14ac:dyDescent="0.25">
      <c r="A23" s="54"/>
      <c r="B23" s="55" t="s">
        <v>48</v>
      </c>
      <c r="C23" s="56"/>
      <c r="D23" s="46">
        <f>+D24</f>
        <v>50400</v>
      </c>
      <c r="E23" s="56"/>
      <c r="F23" s="46">
        <f>+F24</f>
        <v>100800</v>
      </c>
      <c r="G23" s="56"/>
      <c r="H23" s="46">
        <f>+H24</f>
        <v>100800</v>
      </c>
      <c r="I23" s="56"/>
      <c r="J23" s="57">
        <f>+J24</f>
        <v>100800</v>
      </c>
      <c r="K23" s="61">
        <f>SUM(C23:J23)</f>
        <v>352800</v>
      </c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2" s="39" customFormat="1" ht="81" customHeight="1" thickBot="1" x14ac:dyDescent="0.3">
      <c r="A24" s="37"/>
      <c r="B24" s="49" t="s">
        <v>46</v>
      </c>
      <c r="C24" s="38" t="s">
        <v>61</v>
      </c>
      <c r="D24" s="51">
        <f>1400*6*6</f>
        <v>50400</v>
      </c>
      <c r="E24" s="38" t="s">
        <v>22</v>
      </c>
      <c r="F24" s="49">
        <f>F29</f>
        <v>100800</v>
      </c>
      <c r="G24" s="38" t="s">
        <v>22</v>
      </c>
      <c r="H24" s="49">
        <v>100800</v>
      </c>
      <c r="I24" s="38" t="s">
        <v>22</v>
      </c>
      <c r="J24" s="59">
        <v>100800</v>
      </c>
      <c r="K24" s="62">
        <f t="shared" si="0"/>
        <v>352800</v>
      </c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spans="1:22" s="36" customFormat="1" ht="75.75" customHeight="1" thickBot="1" x14ac:dyDescent="0.6">
      <c r="A25" s="35"/>
      <c r="B25" s="63" t="s">
        <v>52</v>
      </c>
      <c r="C25" s="65"/>
      <c r="D25" s="66">
        <f>+D23+D20+D13+D7</f>
        <v>162395.39000000001</v>
      </c>
      <c r="E25" s="65"/>
      <c r="F25" s="66">
        <f>+F23+F20+F13+F7</f>
        <v>108089</v>
      </c>
      <c r="G25" s="65"/>
      <c r="H25" s="66">
        <f>+H23+H20+H13+H7</f>
        <v>114089</v>
      </c>
      <c r="I25" s="65"/>
      <c r="J25" s="67">
        <f>+J23+J20+J13+J7</f>
        <v>114089</v>
      </c>
      <c r="K25" s="64">
        <f>SUM(C25:J25)</f>
        <v>498662.39</v>
      </c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2" s="39" customFormat="1" ht="51" hidden="1" customHeight="1" x14ac:dyDescent="0.25">
      <c r="A26" s="37"/>
      <c r="B26" s="60" t="s">
        <v>56</v>
      </c>
      <c r="C26" s="37"/>
      <c r="D26" s="60">
        <f>1400*6*4</f>
        <v>33600</v>
      </c>
      <c r="E26" s="37"/>
      <c r="F26" s="60">
        <f>1400*6*12</f>
        <v>100800</v>
      </c>
      <c r="G26" s="37"/>
      <c r="H26" s="60">
        <f>1400*6*12</f>
        <v>100800</v>
      </c>
      <c r="I26" s="37"/>
      <c r="J26" s="60">
        <f>1400*6*12</f>
        <v>100800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 spans="1:22" s="39" customFormat="1" ht="51" hidden="1" customHeight="1" x14ac:dyDescent="0.25">
      <c r="A27" s="37"/>
      <c r="B27" s="49" t="s">
        <v>57</v>
      </c>
      <c r="C27" s="37"/>
      <c r="D27" s="51">
        <f>+D26/6</f>
        <v>5600</v>
      </c>
      <c r="E27" s="37"/>
      <c r="F27" s="51">
        <f>+F26/6</f>
        <v>16800</v>
      </c>
      <c r="G27" s="37"/>
      <c r="H27" s="51">
        <f>+H26/6</f>
        <v>16800</v>
      </c>
      <c r="I27" s="37"/>
      <c r="J27" s="51">
        <f>+J26/6</f>
        <v>16800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 spans="1:22" s="39" customFormat="1" ht="1.5" hidden="1" customHeight="1" x14ac:dyDescent="0.25">
      <c r="A28" s="37"/>
      <c r="B28" s="49" t="s">
        <v>55</v>
      </c>
      <c r="C28" s="50">
        <v>4</v>
      </c>
      <c r="D28" s="51">
        <f>((D27*0.0875)+(1000*0.085))*C28</f>
        <v>2300</v>
      </c>
      <c r="E28" s="50">
        <v>12</v>
      </c>
      <c r="F28" s="51">
        <f>((F27*0.0875)+(1000*0.085))*E28</f>
        <v>18660</v>
      </c>
      <c r="G28" s="50">
        <v>12</v>
      </c>
      <c r="H28" s="51">
        <f>((H27*0.0875)+(1000*0.085))*G28</f>
        <v>18660</v>
      </c>
      <c r="I28" s="50">
        <v>12</v>
      </c>
      <c r="J28" s="51">
        <f>((J27*0.0875)+(1000*0.085))*I28</f>
        <v>18660</v>
      </c>
      <c r="K28" s="49">
        <f>+D28+F28+H28+J28</f>
        <v>58280</v>
      </c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 spans="1:22" s="39" customFormat="1" ht="1.5" customHeight="1" x14ac:dyDescent="0.25">
      <c r="A29" s="37"/>
      <c r="B29" s="49" t="s">
        <v>46</v>
      </c>
      <c r="C29" s="50">
        <v>4</v>
      </c>
      <c r="D29" s="51">
        <f>+C29*1400*6</f>
        <v>33600</v>
      </c>
      <c r="E29" s="50">
        <v>12</v>
      </c>
      <c r="F29" s="51">
        <f>+E29*1400*6</f>
        <v>100800</v>
      </c>
      <c r="G29" s="50">
        <v>12</v>
      </c>
      <c r="H29" s="51">
        <f>+G29*1400*6</f>
        <v>100800</v>
      </c>
      <c r="I29" s="50">
        <v>12</v>
      </c>
      <c r="J29" s="51">
        <f>+I29*1400*6</f>
        <v>100800</v>
      </c>
      <c r="K29" s="49">
        <f>+D29+F29+H29+J29</f>
        <v>336000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2" spans="1:22" x14ac:dyDescent="0.35">
      <c r="J32" s="45" t="s">
        <v>60</v>
      </c>
    </row>
  </sheetData>
  <mergeCells count="6">
    <mergeCell ref="B2:J2"/>
    <mergeCell ref="C5:D5"/>
    <mergeCell ref="E5:F5"/>
    <mergeCell ref="G5:H5"/>
    <mergeCell ref="I5:J5"/>
    <mergeCell ref="B4:J4"/>
  </mergeCells>
  <pageMargins left="0.31496062992125984" right="0.31496062992125984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8ACF-9E2A-42FC-AB96-D65770A35A5A}">
  <dimension ref="B2:D28"/>
  <sheetViews>
    <sheetView workbookViewId="0">
      <selection activeCell="B1" sqref="B1:D1048576"/>
    </sheetView>
  </sheetViews>
  <sheetFormatPr baseColWidth="10" defaultRowHeight="15" x14ac:dyDescent="0.25"/>
  <cols>
    <col min="1" max="1" width="8.5703125" style="1" customWidth="1"/>
    <col min="2" max="2" width="63.28515625" style="1" bestFit="1" customWidth="1"/>
    <col min="3" max="3" width="22.85546875" style="1" bestFit="1" customWidth="1"/>
    <col min="4" max="4" width="18.140625" style="1" bestFit="1" customWidth="1"/>
    <col min="5" max="16384" width="11.42578125" style="1"/>
  </cols>
  <sheetData>
    <row r="2" spans="2:4" ht="15.75" x14ac:dyDescent="0.25">
      <c r="B2" s="71" t="s">
        <v>0</v>
      </c>
      <c r="C2" s="71"/>
      <c r="D2" s="71"/>
    </row>
    <row r="4" spans="2:4" ht="15.75" x14ac:dyDescent="0.25">
      <c r="B4" s="72" t="s">
        <v>5</v>
      </c>
      <c r="C4" s="72"/>
      <c r="D4" s="72"/>
    </row>
    <row r="5" spans="2:4" ht="15.75" x14ac:dyDescent="0.25">
      <c r="B5" s="73" t="s">
        <v>10</v>
      </c>
      <c r="C5" s="73"/>
      <c r="D5" s="73"/>
    </row>
    <row r="7" spans="2:4" x14ac:dyDescent="0.25">
      <c r="B7" s="2" t="s">
        <v>7</v>
      </c>
      <c r="C7" s="2" t="s">
        <v>6</v>
      </c>
      <c r="D7" s="2" t="s">
        <v>4</v>
      </c>
    </row>
    <row r="9" spans="2:4" x14ac:dyDescent="0.25">
      <c r="B9" s="3" t="s">
        <v>3</v>
      </c>
      <c r="C9" s="4"/>
      <c r="D9" s="4"/>
    </row>
    <row r="10" spans="2:4" x14ac:dyDescent="0.25">
      <c r="B10" s="24" t="s">
        <v>12</v>
      </c>
      <c r="C10" s="13" t="s">
        <v>27</v>
      </c>
      <c r="D10" s="14">
        <v>2000</v>
      </c>
    </row>
    <row r="11" spans="2:4" x14ac:dyDescent="0.25">
      <c r="B11" s="8" t="s">
        <v>8</v>
      </c>
      <c r="C11" s="13"/>
      <c r="D11" s="7">
        <f>SUM(D10:D10)</f>
        <v>2000</v>
      </c>
    </row>
    <row r="12" spans="2:4" x14ac:dyDescent="0.25">
      <c r="B12" s="5" t="s">
        <v>1</v>
      </c>
      <c r="C12" s="4"/>
      <c r="D12" s="4"/>
    </row>
    <row r="13" spans="2:4" x14ac:dyDescent="0.25">
      <c r="B13" s="24" t="s">
        <v>16</v>
      </c>
      <c r="C13" s="13" t="s">
        <v>27</v>
      </c>
      <c r="D13" s="14">
        <v>3388.64</v>
      </c>
    </row>
    <row r="14" spans="2:4" x14ac:dyDescent="0.25">
      <c r="B14" s="24" t="s">
        <v>17</v>
      </c>
      <c r="C14" s="13" t="s">
        <v>27</v>
      </c>
      <c r="D14" s="14">
        <v>1200</v>
      </c>
    </row>
    <row r="15" spans="2:4" x14ac:dyDescent="0.25">
      <c r="B15" s="24" t="s">
        <v>25</v>
      </c>
      <c r="C15" s="16">
        <v>46357</v>
      </c>
      <c r="D15" s="14">
        <v>700</v>
      </c>
    </row>
    <row r="16" spans="2:4" x14ac:dyDescent="0.25">
      <c r="B16" s="8" t="s">
        <v>8</v>
      </c>
      <c r="C16" s="13"/>
      <c r="D16" s="7">
        <f>SUM(D13:D15)</f>
        <v>5288.6399999999994</v>
      </c>
    </row>
    <row r="18" spans="2:4" x14ac:dyDescent="0.25">
      <c r="B18" s="11"/>
      <c r="C18" s="9"/>
      <c r="D18" s="12"/>
    </row>
    <row r="19" spans="2:4" ht="15.75" x14ac:dyDescent="0.25">
      <c r="B19" s="71" t="s">
        <v>0</v>
      </c>
      <c r="C19" s="71"/>
      <c r="D19" s="71"/>
    </row>
    <row r="21" spans="2:4" ht="15.75" x14ac:dyDescent="0.25">
      <c r="B21" s="72" t="s">
        <v>5</v>
      </c>
      <c r="C21" s="72"/>
      <c r="D21" s="72"/>
    </row>
    <row r="22" spans="2:4" ht="15.75" x14ac:dyDescent="0.25">
      <c r="B22" s="73" t="s">
        <v>10</v>
      </c>
      <c r="C22" s="73"/>
      <c r="D22" s="73"/>
    </row>
    <row r="24" spans="2:4" x14ac:dyDescent="0.25">
      <c r="B24" s="2" t="s">
        <v>7</v>
      </c>
      <c r="C24" s="2" t="s">
        <v>6</v>
      </c>
      <c r="D24" s="2" t="s">
        <v>4</v>
      </c>
    </row>
    <row r="25" spans="2:4" x14ac:dyDescent="0.25">
      <c r="B25" s="5" t="s">
        <v>2</v>
      </c>
      <c r="C25" s="4"/>
      <c r="D25" s="4"/>
    </row>
    <row r="26" spans="2:4" x14ac:dyDescent="0.25">
      <c r="B26" s="6" t="s">
        <v>23</v>
      </c>
      <c r="C26" s="6" t="s">
        <v>22</v>
      </c>
      <c r="D26" s="7">
        <v>100800</v>
      </c>
    </row>
    <row r="27" spans="2:4" x14ac:dyDescent="0.25">
      <c r="B27" s="8" t="s">
        <v>8</v>
      </c>
      <c r="C27" s="6"/>
      <c r="D27" s="15">
        <f>SUM(D26:D26)</f>
        <v>100800</v>
      </c>
    </row>
    <row r="28" spans="2:4" x14ac:dyDescent="0.25">
      <c r="B28" s="8" t="s">
        <v>24</v>
      </c>
      <c r="C28" s="6"/>
      <c r="D28" s="15">
        <f>SUM(D11,D16,D27)</f>
        <v>108088.64</v>
      </c>
    </row>
  </sheetData>
  <mergeCells count="6">
    <mergeCell ref="B2:D2"/>
    <mergeCell ref="B4:D4"/>
    <mergeCell ref="B5:D5"/>
    <mergeCell ref="B22:D22"/>
    <mergeCell ref="B19:D19"/>
    <mergeCell ref="B21:D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603E-C3C2-4C89-9498-680B67EBFC79}">
  <dimension ref="B2:D31"/>
  <sheetViews>
    <sheetView topLeftCell="A3" workbookViewId="0">
      <selection activeCell="B3" sqref="B1:D1048576"/>
    </sheetView>
  </sheetViews>
  <sheetFormatPr baseColWidth="10" defaultRowHeight="15" x14ac:dyDescent="0.25"/>
  <cols>
    <col min="1" max="1" width="8.5703125" style="1" customWidth="1"/>
    <col min="2" max="2" width="63.28515625" style="1" bestFit="1" customWidth="1"/>
    <col min="3" max="3" width="22.85546875" style="1" bestFit="1" customWidth="1"/>
    <col min="4" max="4" width="18.140625" style="1" bestFit="1" customWidth="1"/>
    <col min="5" max="16384" width="11.42578125" style="1"/>
  </cols>
  <sheetData>
    <row r="2" spans="2:4" ht="15.75" x14ac:dyDescent="0.25">
      <c r="B2" s="71" t="s">
        <v>0</v>
      </c>
      <c r="C2" s="71"/>
      <c r="D2" s="71"/>
    </row>
    <row r="4" spans="2:4" ht="15.75" x14ac:dyDescent="0.25">
      <c r="B4" s="72" t="s">
        <v>5</v>
      </c>
      <c r="C4" s="72"/>
      <c r="D4" s="72"/>
    </row>
    <row r="5" spans="2:4" ht="15.75" x14ac:dyDescent="0.25">
      <c r="B5" s="73" t="s">
        <v>28</v>
      </c>
      <c r="C5" s="73"/>
      <c r="D5" s="73"/>
    </row>
    <row r="7" spans="2:4" x14ac:dyDescent="0.25">
      <c r="B7" s="2" t="s">
        <v>7</v>
      </c>
      <c r="C7" s="2" t="s">
        <v>6</v>
      </c>
      <c r="D7" s="2" t="s">
        <v>4</v>
      </c>
    </row>
    <row r="9" spans="2:4" x14ac:dyDescent="0.25">
      <c r="B9" s="3" t="s">
        <v>3</v>
      </c>
      <c r="C9" s="4"/>
      <c r="D9" s="4"/>
    </row>
    <row r="10" spans="2:4" x14ac:dyDescent="0.25">
      <c r="B10" s="24" t="s">
        <v>12</v>
      </c>
      <c r="C10" s="13" t="s">
        <v>29</v>
      </c>
      <c r="D10" s="14">
        <v>2000</v>
      </c>
    </row>
    <row r="11" spans="2:4" x14ac:dyDescent="0.25">
      <c r="B11" s="10" t="s">
        <v>11</v>
      </c>
      <c r="C11" s="13"/>
      <c r="D11" s="7"/>
    </row>
    <row r="12" spans="2:4" ht="43.5" customHeight="1" x14ac:dyDescent="0.25">
      <c r="B12" s="25" t="s">
        <v>15</v>
      </c>
      <c r="C12" s="16">
        <v>46722</v>
      </c>
      <c r="D12" s="17">
        <v>6000</v>
      </c>
    </row>
    <row r="13" spans="2:4" x14ac:dyDescent="0.25">
      <c r="B13" s="8" t="s">
        <v>8</v>
      </c>
      <c r="C13" s="13"/>
      <c r="D13" s="7">
        <f>SUM(D10:D12)</f>
        <v>8000</v>
      </c>
    </row>
    <row r="14" spans="2:4" x14ac:dyDescent="0.25">
      <c r="B14" s="5" t="s">
        <v>1</v>
      </c>
      <c r="C14" s="4"/>
      <c r="D14" s="4"/>
    </row>
    <row r="15" spans="2:4" x14ac:dyDescent="0.25">
      <c r="B15" s="24" t="s">
        <v>13</v>
      </c>
      <c r="C15" s="16">
        <v>46722</v>
      </c>
      <c r="D15" s="14">
        <v>5000</v>
      </c>
    </row>
    <row r="16" spans="2:4" x14ac:dyDescent="0.25">
      <c r="B16" s="24" t="s">
        <v>16</v>
      </c>
      <c r="C16" s="13" t="s">
        <v>29</v>
      </c>
      <c r="D16" s="14">
        <v>3388.64</v>
      </c>
    </row>
    <row r="17" spans="2:4" x14ac:dyDescent="0.25">
      <c r="B17" s="24" t="s">
        <v>17</v>
      </c>
      <c r="C17" s="13" t="s">
        <v>29</v>
      </c>
      <c r="D17" s="14">
        <v>1200</v>
      </c>
    </row>
    <row r="18" spans="2:4" x14ac:dyDescent="0.25">
      <c r="B18" s="6" t="s">
        <v>25</v>
      </c>
      <c r="C18" s="16">
        <v>46722</v>
      </c>
      <c r="D18" s="14">
        <v>700</v>
      </c>
    </row>
    <row r="19" spans="2:4" x14ac:dyDescent="0.25">
      <c r="B19" s="8" t="s">
        <v>8</v>
      </c>
      <c r="C19" s="13"/>
      <c r="D19" s="7">
        <f>SUM(D15:D18)</f>
        <v>10288.64</v>
      </c>
    </row>
    <row r="21" spans="2:4" x14ac:dyDescent="0.25">
      <c r="B21" s="11"/>
      <c r="C21" s="9"/>
      <c r="D21" s="12"/>
    </row>
    <row r="22" spans="2:4" ht="15.75" x14ac:dyDescent="0.25">
      <c r="B22" s="71" t="s">
        <v>0</v>
      </c>
      <c r="C22" s="71"/>
      <c r="D22" s="71"/>
    </row>
    <row r="24" spans="2:4" ht="15.75" x14ac:dyDescent="0.25">
      <c r="B24" s="72" t="s">
        <v>5</v>
      </c>
      <c r="C24" s="72"/>
      <c r="D24" s="72"/>
    </row>
    <row r="25" spans="2:4" ht="15.75" x14ac:dyDescent="0.25">
      <c r="B25" s="73" t="s">
        <v>28</v>
      </c>
      <c r="C25" s="73"/>
      <c r="D25" s="73"/>
    </row>
    <row r="27" spans="2:4" x14ac:dyDescent="0.25">
      <c r="B27" s="2" t="s">
        <v>7</v>
      </c>
      <c r="C27" s="2" t="s">
        <v>6</v>
      </c>
      <c r="D27" s="2" t="s">
        <v>4</v>
      </c>
    </row>
    <row r="28" spans="2:4" x14ac:dyDescent="0.25">
      <c r="B28" s="5" t="s">
        <v>2</v>
      </c>
      <c r="C28" s="4"/>
      <c r="D28" s="4"/>
    </row>
    <row r="29" spans="2:4" x14ac:dyDescent="0.25">
      <c r="B29" s="6" t="s">
        <v>23</v>
      </c>
      <c r="C29" s="6" t="s">
        <v>22</v>
      </c>
      <c r="D29" s="7">
        <v>100800</v>
      </c>
    </row>
    <row r="30" spans="2:4" x14ac:dyDescent="0.25">
      <c r="B30" s="8" t="s">
        <v>8</v>
      </c>
      <c r="C30" s="6"/>
      <c r="D30" s="15">
        <f>SUM(D29:D29)</f>
        <v>100800</v>
      </c>
    </row>
    <row r="31" spans="2:4" x14ac:dyDescent="0.25">
      <c r="B31" s="8" t="s">
        <v>24</v>
      </c>
      <c r="C31" s="6"/>
      <c r="D31" s="15">
        <f>SUM(D13,D19,D30)</f>
        <v>119088.64</v>
      </c>
    </row>
  </sheetData>
  <mergeCells count="6">
    <mergeCell ref="B25:D25"/>
    <mergeCell ref="B2:D2"/>
    <mergeCell ref="B4:D4"/>
    <mergeCell ref="B5:D5"/>
    <mergeCell ref="B22:D22"/>
    <mergeCell ref="B24:D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02F2-D877-44A4-9479-B3AFC742C580}">
  <dimension ref="B1:D31"/>
  <sheetViews>
    <sheetView workbookViewId="0">
      <selection activeCell="B1" sqref="B1:E1048576"/>
    </sheetView>
  </sheetViews>
  <sheetFormatPr baseColWidth="10" defaultRowHeight="15" x14ac:dyDescent="0.25"/>
  <cols>
    <col min="2" max="2" width="63.28515625" bestFit="1" customWidth="1"/>
    <col min="3" max="3" width="23.42578125" bestFit="1" customWidth="1"/>
    <col min="4" max="4" width="18.140625" bestFit="1" customWidth="1"/>
  </cols>
  <sheetData>
    <row r="1" spans="2:4" x14ac:dyDescent="0.25">
      <c r="B1" s="1"/>
      <c r="C1" s="1"/>
      <c r="D1" s="1"/>
    </row>
    <row r="2" spans="2:4" ht="15.75" x14ac:dyDescent="0.25">
      <c r="B2" s="71" t="s">
        <v>0</v>
      </c>
      <c r="C2" s="71"/>
      <c r="D2" s="71"/>
    </row>
    <row r="3" spans="2:4" x14ac:dyDescent="0.25">
      <c r="B3" s="1"/>
      <c r="C3" s="1"/>
      <c r="D3" s="1"/>
    </row>
    <row r="4" spans="2:4" ht="15.75" x14ac:dyDescent="0.25">
      <c r="B4" s="72" t="s">
        <v>5</v>
      </c>
      <c r="C4" s="72"/>
      <c r="D4" s="72"/>
    </row>
    <row r="5" spans="2:4" ht="15.75" x14ac:dyDescent="0.25">
      <c r="B5" s="73" t="s">
        <v>30</v>
      </c>
      <c r="C5" s="73"/>
      <c r="D5" s="73"/>
    </row>
    <row r="6" spans="2:4" x14ac:dyDescent="0.25">
      <c r="B6" s="1"/>
      <c r="C6" s="1"/>
      <c r="D6" s="1"/>
    </row>
    <row r="7" spans="2:4" x14ac:dyDescent="0.25">
      <c r="B7" s="2" t="s">
        <v>7</v>
      </c>
      <c r="C7" s="2" t="s">
        <v>6</v>
      </c>
      <c r="D7" s="2" t="s">
        <v>4</v>
      </c>
    </row>
    <row r="8" spans="2:4" x14ac:dyDescent="0.25">
      <c r="B8" s="1"/>
      <c r="C8" s="1"/>
      <c r="D8" s="1"/>
    </row>
    <row r="9" spans="2:4" x14ac:dyDescent="0.25">
      <c r="B9" s="3" t="s">
        <v>3</v>
      </c>
      <c r="C9" s="4"/>
      <c r="D9" s="4"/>
    </row>
    <row r="10" spans="2:4" x14ac:dyDescent="0.25">
      <c r="B10" s="24" t="s">
        <v>12</v>
      </c>
      <c r="C10" s="13" t="s">
        <v>31</v>
      </c>
      <c r="D10" s="14">
        <v>2000</v>
      </c>
    </row>
    <row r="11" spans="2:4" x14ac:dyDescent="0.25">
      <c r="B11" s="10" t="s">
        <v>11</v>
      </c>
      <c r="C11" s="13"/>
      <c r="D11" s="7"/>
    </row>
    <row r="12" spans="2:4" ht="55.5" customHeight="1" x14ac:dyDescent="0.25">
      <c r="B12" s="25" t="s">
        <v>15</v>
      </c>
      <c r="C12" s="16">
        <v>47088</v>
      </c>
      <c r="D12" s="17">
        <v>6000</v>
      </c>
    </row>
    <row r="13" spans="2:4" x14ac:dyDescent="0.25">
      <c r="B13" s="8" t="s">
        <v>8</v>
      </c>
      <c r="C13" s="13"/>
      <c r="D13" s="7">
        <f>SUM(D10:D12)</f>
        <v>8000</v>
      </c>
    </row>
    <row r="14" spans="2:4" x14ac:dyDescent="0.25">
      <c r="B14" s="5" t="s">
        <v>1</v>
      </c>
      <c r="C14" s="4"/>
      <c r="D14" s="4"/>
    </row>
    <row r="15" spans="2:4" x14ac:dyDescent="0.25">
      <c r="B15" s="24" t="s">
        <v>13</v>
      </c>
      <c r="C15" s="16">
        <v>47088</v>
      </c>
      <c r="D15" s="14">
        <v>5000</v>
      </c>
    </row>
    <row r="16" spans="2:4" x14ac:dyDescent="0.25">
      <c r="B16" s="24" t="s">
        <v>16</v>
      </c>
      <c r="C16" s="13" t="s">
        <v>31</v>
      </c>
      <c r="D16" s="14">
        <v>3388.64</v>
      </c>
    </row>
    <row r="17" spans="2:4" x14ac:dyDescent="0.25">
      <c r="B17" s="24" t="s">
        <v>17</v>
      </c>
      <c r="C17" s="13" t="s">
        <v>31</v>
      </c>
      <c r="D17" s="14">
        <v>1200</v>
      </c>
    </row>
    <row r="18" spans="2:4" x14ac:dyDescent="0.25">
      <c r="B18" s="6" t="s">
        <v>25</v>
      </c>
      <c r="C18" s="16">
        <v>47088</v>
      </c>
      <c r="D18" s="14">
        <v>700</v>
      </c>
    </row>
    <row r="19" spans="2:4" x14ac:dyDescent="0.25">
      <c r="B19" s="8" t="s">
        <v>8</v>
      </c>
      <c r="C19" s="13"/>
      <c r="D19" s="7">
        <f>SUM(D15:D18)</f>
        <v>10288.64</v>
      </c>
    </row>
    <row r="20" spans="2:4" x14ac:dyDescent="0.25">
      <c r="B20" s="1"/>
      <c r="C20" s="1"/>
      <c r="D20" s="1"/>
    </row>
    <row r="21" spans="2:4" x14ac:dyDescent="0.25">
      <c r="B21" s="11"/>
      <c r="C21" s="9"/>
      <c r="D21" s="12"/>
    </row>
    <row r="22" spans="2:4" ht="15.75" x14ac:dyDescent="0.25">
      <c r="B22" s="71" t="s">
        <v>0</v>
      </c>
      <c r="C22" s="71"/>
      <c r="D22" s="71"/>
    </row>
    <row r="23" spans="2:4" x14ac:dyDescent="0.25">
      <c r="B23" s="1"/>
      <c r="C23" s="1"/>
      <c r="D23" s="1"/>
    </row>
    <row r="24" spans="2:4" ht="15.75" x14ac:dyDescent="0.25">
      <c r="B24" s="72" t="s">
        <v>5</v>
      </c>
      <c r="C24" s="72"/>
      <c r="D24" s="72"/>
    </row>
    <row r="25" spans="2:4" ht="15.75" x14ac:dyDescent="0.25">
      <c r="B25" s="73" t="s">
        <v>30</v>
      </c>
      <c r="C25" s="73"/>
      <c r="D25" s="73"/>
    </row>
    <row r="26" spans="2:4" x14ac:dyDescent="0.25">
      <c r="B26" s="1"/>
      <c r="C26" s="1"/>
      <c r="D26" s="1"/>
    </row>
    <row r="27" spans="2:4" x14ac:dyDescent="0.25">
      <c r="B27" s="2" t="s">
        <v>7</v>
      </c>
      <c r="C27" s="2" t="s">
        <v>6</v>
      </c>
      <c r="D27" s="2" t="s">
        <v>4</v>
      </c>
    </row>
    <row r="28" spans="2:4" x14ac:dyDescent="0.25">
      <c r="B28" s="5" t="s">
        <v>2</v>
      </c>
      <c r="C28" s="4"/>
      <c r="D28" s="4"/>
    </row>
    <row r="29" spans="2:4" x14ac:dyDescent="0.25">
      <c r="B29" s="6" t="s">
        <v>23</v>
      </c>
      <c r="C29" s="6" t="s">
        <v>22</v>
      </c>
      <c r="D29" s="7">
        <v>100800</v>
      </c>
    </row>
    <row r="30" spans="2:4" x14ac:dyDescent="0.25">
      <c r="B30" s="8" t="s">
        <v>8</v>
      </c>
      <c r="C30" s="6"/>
      <c r="D30" s="15">
        <f>SUM(D29:D29)</f>
        <v>100800</v>
      </c>
    </row>
    <row r="31" spans="2:4" x14ac:dyDescent="0.25">
      <c r="B31" s="8" t="s">
        <v>24</v>
      </c>
      <c r="C31" s="6"/>
      <c r="D31" s="15">
        <f>SUM(D13,D19,D30)</f>
        <v>119088.64</v>
      </c>
    </row>
  </sheetData>
  <mergeCells count="6">
    <mergeCell ref="B25:D25"/>
    <mergeCell ref="B2:D2"/>
    <mergeCell ref="B4:D4"/>
    <mergeCell ref="B5:D5"/>
    <mergeCell ref="B22:D22"/>
    <mergeCell ref="B24:D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D4C2-8DF9-4ED8-9E66-8A402E9D2002}">
  <dimension ref="B2:J19"/>
  <sheetViews>
    <sheetView showGridLines="0" zoomScaleNormal="100" workbookViewId="0">
      <selection activeCell="J13" sqref="J13"/>
    </sheetView>
  </sheetViews>
  <sheetFormatPr baseColWidth="10" defaultRowHeight="15" x14ac:dyDescent="0.25"/>
  <cols>
    <col min="4" max="4" width="39.7109375" bestFit="1" customWidth="1"/>
    <col min="10" max="10" width="11.42578125" style="1"/>
  </cols>
  <sheetData>
    <row r="2" spans="2:10" x14ac:dyDescent="0.25">
      <c r="B2" s="19"/>
      <c r="C2" s="1"/>
      <c r="D2" s="1"/>
      <c r="E2" s="1"/>
      <c r="F2" s="1"/>
      <c r="G2" s="1"/>
      <c r="H2" s="1"/>
      <c r="I2" s="1"/>
    </row>
    <row r="3" spans="2:10" s="18" customFormat="1" ht="18.75" customHeight="1" x14ac:dyDescent="0.25">
      <c r="B3" s="19"/>
      <c r="C3" s="20" t="s">
        <v>32</v>
      </c>
      <c r="D3" s="20" t="s">
        <v>33</v>
      </c>
      <c r="E3" s="20"/>
      <c r="F3" s="20">
        <v>2025</v>
      </c>
      <c r="G3" s="20">
        <v>2026</v>
      </c>
      <c r="H3" s="20">
        <v>2027</v>
      </c>
      <c r="I3" s="20">
        <v>2028</v>
      </c>
      <c r="J3" s="19"/>
    </row>
    <row r="4" spans="2:10" s="21" customFormat="1" ht="24" customHeight="1" x14ac:dyDescent="0.25">
      <c r="B4" s="22"/>
      <c r="C4" s="23" t="s">
        <v>34</v>
      </c>
      <c r="D4" s="22" t="s">
        <v>40</v>
      </c>
      <c r="E4" s="22"/>
      <c r="F4" s="22"/>
      <c r="G4" s="22"/>
      <c r="H4" s="22"/>
      <c r="I4" s="22"/>
      <c r="J4" s="22"/>
    </row>
    <row r="5" spans="2:10" s="21" customFormat="1" ht="24" customHeight="1" x14ac:dyDescent="0.25">
      <c r="B5" s="22"/>
      <c r="C5" s="23" t="s">
        <v>35</v>
      </c>
      <c r="D5" s="22" t="s">
        <v>41</v>
      </c>
      <c r="E5" s="22"/>
      <c r="F5" s="22"/>
      <c r="G5" s="22"/>
      <c r="H5" s="22"/>
      <c r="I5" s="22"/>
      <c r="J5" s="22"/>
    </row>
    <row r="6" spans="2:10" s="21" customFormat="1" ht="24" customHeight="1" x14ac:dyDescent="0.25">
      <c r="B6" s="22"/>
      <c r="C6" s="23" t="s">
        <v>36</v>
      </c>
      <c r="D6" s="22" t="s">
        <v>45</v>
      </c>
      <c r="E6" s="22"/>
      <c r="F6" s="22"/>
      <c r="G6" s="22"/>
      <c r="H6" s="22"/>
      <c r="I6" s="22"/>
      <c r="J6" s="22"/>
    </row>
    <row r="7" spans="2:10" s="21" customFormat="1" ht="24" customHeight="1" x14ac:dyDescent="0.25">
      <c r="B7" s="22"/>
      <c r="C7" s="23" t="s">
        <v>37</v>
      </c>
      <c r="D7" s="22" t="s">
        <v>42</v>
      </c>
      <c r="E7" s="22"/>
      <c r="F7" s="22"/>
      <c r="G7" s="22"/>
      <c r="H7" s="22"/>
      <c r="I7" s="22"/>
      <c r="J7" s="22"/>
    </row>
    <row r="8" spans="2:10" s="21" customFormat="1" ht="24" customHeight="1" x14ac:dyDescent="0.25">
      <c r="B8" s="22"/>
      <c r="C8" s="23" t="s">
        <v>38</v>
      </c>
      <c r="D8" s="22" t="s">
        <v>43</v>
      </c>
      <c r="E8" s="22"/>
      <c r="F8" s="22"/>
      <c r="G8" s="22"/>
      <c r="H8" s="22"/>
      <c r="I8" s="22"/>
      <c r="J8" s="22"/>
    </row>
    <row r="9" spans="2:10" s="21" customFormat="1" ht="24" customHeight="1" x14ac:dyDescent="0.25">
      <c r="B9" s="22"/>
      <c r="C9" s="23" t="s">
        <v>39</v>
      </c>
      <c r="D9" s="22" t="s">
        <v>44</v>
      </c>
      <c r="E9" s="22"/>
      <c r="F9" s="22"/>
      <c r="G9" s="22"/>
      <c r="H9" s="22"/>
      <c r="I9" s="22"/>
      <c r="J9" s="22"/>
    </row>
    <row r="10" spans="2:10" x14ac:dyDescent="0.25">
      <c r="B10" s="1"/>
      <c r="C10" s="1"/>
      <c r="D10" s="1"/>
      <c r="E10" s="1"/>
      <c r="F10" s="1"/>
      <c r="G10" s="1"/>
      <c r="H10" s="1"/>
      <c r="I10" s="1"/>
    </row>
    <row r="11" spans="2:10" x14ac:dyDescent="0.25">
      <c r="B11" s="1"/>
      <c r="C11" s="1"/>
      <c r="D11" s="1"/>
      <c r="E11" s="1"/>
      <c r="F11" s="1"/>
      <c r="G11" s="1"/>
      <c r="H11" s="1"/>
      <c r="I11" s="1"/>
    </row>
    <row r="12" spans="2:10" x14ac:dyDescent="0.25">
      <c r="B12" s="1"/>
      <c r="C12" s="1"/>
      <c r="D12" s="1"/>
      <c r="E12" s="1"/>
      <c r="F12" s="1"/>
      <c r="G12" s="1"/>
      <c r="H12" s="1"/>
      <c r="I12" s="1"/>
    </row>
    <row r="13" spans="2:10" x14ac:dyDescent="0.25">
      <c r="B13" s="1"/>
      <c r="C13" s="1"/>
      <c r="D13" s="1"/>
      <c r="E13" s="1"/>
      <c r="F13" s="1"/>
      <c r="G13" s="19"/>
      <c r="H13" s="1"/>
      <c r="I13" s="1"/>
    </row>
    <row r="14" spans="2:10" x14ac:dyDescent="0.25">
      <c r="B14" s="1"/>
      <c r="C14" s="1"/>
      <c r="D14" s="1"/>
      <c r="E14" s="1"/>
      <c r="F14" s="1"/>
      <c r="G14" s="1"/>
      <c r="H14" s="1"/>
      <c r="I14" s="1"/>
    </row>
    <row r="15" spans="2:10" x14ac:dyDescent="0.25">
      <c r="B15" s="1"/>
      <c r="C15" s="1"/>
      <c r="D15" s="1"/>
      <c r="E15" s="1"/>
      <c r="F15" s="1"/>
      <c r="G15" s="1"/>
      <c r="H15" s="1"/>
      <c r="I15" s="1"/>
    </row>
    <row r="16" spans="2:10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1"/>
      <c r="D18" s="1"/>
      <c r="E18" s="1"/>
      <c r="F18" s="1"/>
      <c r="G18" s="1"/>
      <c r="H18" s="1"/>
      <c r="I18" s="1"/>
    </row>
    <row r="19" spans="2:9" x14ac:dyDescent="0.25">
      <c r="B19" s="1"/>
      <c r="C19" s="1"/>
      <c r="D19" s="1"/>
      <c r="E19" s="1"/>
      <c r="F19" s="1"/>
      <c r="G19" s="1"/>
      <c r="H19" s="1"/>
      <c r="I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2025-2028</vt:lpstr>
      <vt:lpstr>2026</vt:lpstr>
      <vt:lpstr>2027</vt:lpstr>
      <vt:lpstr>2028</vt:lpstr>
      <vt:lpstr>fase</vt:lpstr>
    </vt:vector>
  </TitlesOfParts>
  <Company>UEES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Marielos Mercado</dc:creator>
  <cp:lastModifiedBy>Jonathan Avalos</cp:lastModifiedBy>
  <cp:lastPrinted>2025-03-18T14:50:41Z</cp:lastPrinted>
  <dcterms:created xsi:type="dcterms:W3CDTF">2025-03-18T14:40:32Z</dcterms:created>
  <dcterms:modified xsi:type="dcterms:W3CDTF">2025-06-04T20:05:14Z</dcterms:modified>
</cp:coreProperties>
</file>